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0" yWindow="90" windowWidth="19140" windowHeight="6840"/>
  </bookViews>
  <sheets>
    <sheet name="Dashboard 1" sheetId="9" r:id="rId1"/>
    <sheet name="data" sheetId="1" r:id="rId2"/>
    <sheet name="Pivot Analysis" sheetId="8" r:id="rId3"/>
    <sheet name="Sheet2" sheetId="6" r:id="rId4"/>
    <sheet name="Sheet3" sheetId="7" r:id="rId5"/>
  </sheets>
  <definedNames>
    <definedName name="_xlnm.Print_Area" localSheetId="0">'Dashboard 1'!$A$1:$S$49</definedName>
    <definedName name="Slicer_Category">#N/A</definedName>
    <definedName name="Slicer_City">#N/A</definedName>
    <definedName name="Slicer_Month">#N/A</definedName>
    <definedName name="Slicer_Payment_Mode">#N/A</definedName>
    <definedName name="Slicer_Product">#N/A</definedName>
    <definedName name="Slicer_Salesperson">#N/A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 i="1"/>
  <c r="A6" i="9"/>
  <c r="P6" i="9"/>
  <c r="K6" i="9"/>
  <c r="F6" i="9"/>
</calcChain>
</file>

<file path=xl/sharedStrings.xml><?xml version="1.0" encoding="utf-8"?>
<sst xmlns="http://schemas.openxmlformats.org/spreadsheetml/2006/main" count="2093" uniqueCount="600">
  <si>
    <t>Order_ID</t>
  </si>
  <si>
    <t>Order_Date</t>
  </si>
  <si>
    <t>Customer_Name</t>
  </si>
  <si>
    <t>City</t>
  </si>
  <si>
    <t>Category</t>
  </si>
  <si>
    <t>Product</t>
  </si>
  <si>
    <t>Quantity</t>
  </si>
  <si>
    <t>Unit_Price</t>
  </si>
  <si>
    <t>Discount_Percentage</t>
  </si>
  <si>
    <t>Payment_Mode</t>
  </si>
  <si>
    <t>Salesperson</t>
  </si>
  <si>
    <t>Area</t>
  </si>
  <si>
    <t>Sales_Amount</t>
  </si>
  <si>
    <t>ORD1001</t>
  </si>
  <si>
    <t>Customer 001</t>
  </si>
  <si>
    <t>Delhi</t>
  </si>
  <si>
    <t>Fashion</t>
  </si>
  <si>
    <t>Running Shoes</t>
  </si>
  <si>
    <t>UPI</t>
  </si>
  <si>
    <t>Anjali Mehta</t>
  </si>
  <si>
    <t>Rohini</t>
  </si>
  <si>
    <t>ORD1002</t>
  </si>
  <si>
    <t>Customer 002</t>
  </si>
  <si>
    <t>Beauty</t>
  </si>
  <si>
    <t>Face Wash</t>
  </si>
  <si>
    <t>Credit Card</t>
  </si>
  <si>
    <t>Vikas Kumar</t>
  </si>
  <si>
    <t>Saket</t>
  </si>
  <si>
    <t>ORD1003</t>
  </si>
  <si>
    <t>Customer 003</t>
  </si>
  <si>
    <t>Jaipur</t>
  </si>
  <si>
    <t>Home &amp; Kitchen</t>
  </si>
  <si>
    <t>Storage Box Set</t>
  </si>
  <si>
    <t>Net Banking</t>
  </si>
  <si>
    <t>Rahul Verma</t>
  </si>
  <si>
    <t>Mansarovar</t>
  </si>
  <si>
    <t>ORD1004</t>
  </si>
  <si>
    <t>Customer 004</t>
  </si>
  <si>
    <t>Perfume</t>
  </si>
  <si>
    <t>Debit Card</t>
  </si>
  <si>
    <t>Amit Sharma</t>
  </si>
  <si>
    <t>Malviya Nagar</t>
  </si>
  <si>
    <t>ORD1005</t>
  </si>
  <si>
    <t>Customer 005</t>
  </si>
  <si>
    <t>Electronics</t>
  </si>
  <si>
    <t>Keyboard</t>
  </si>
  <si>
    <t>Dwarka</t>
  </si>
  <si>
    <t>ORD1006</t>
  </si>
  <si>
    <t>Customer 006</t>
  </si>
  <si>
    <t>Kolkata</t>
  </si>
  <si>
    <t>Power Bank</t>
  </si>
  <si>
    <t>Behala</t>
  </si>
  <si>
    <t>ORD1007</t>
  </si>
  <si>
    <t>Customer 007</t>
  </si>
  <si>
    <t>Bengaluru</t>
  </si>
  <si>
    <t>Wireless Mouse</t>
  </si>
  <si>
    <t>HSR Layout</t>
  </si>
  <si>
    <t>ORD1008</t>
  </si>
  <si>
    <t>Customer 008</t>
  </si>
  <si>
    <t>Hyderabad</t>
  </si>
  <si>
    <t>Kukatpally</t>
  </si>
  <si>
    <t>ORD1009</t>
  </si>
  <si>
    <t>Customer 009</t>
  </si>
  <si>
    <t>Pune</t>
  </si>
  <si>
    <t>USB Hub</t>
  </si>
  <si>
    <t>Priya Singh</t>
  </si>
  <si>
    <t>Viman Nagar</t>
  </si>
  <si>
    <t>ORD1010</t>
  </si>
  <si>
    <t>Customer 010</t>
  </si>
  <si>
    <t>Cotton T-Shirt</t>
  </si>
  <si>
    <t>New Town</t>
  </si>
  <si>
    <t>ORD1011</t>
  </si>
  <si>
    <t>Customer 011</t>
  </si>
  <si>
    <t>Ahmedabad</t>
  </si>
  <si>
    <t>Casual Shirt</t>
  </si>
  <si>
    <t>Satellite</t>
  </si>
  <si>
    <t>ORD1012</t>
  </si>
  <si>
    <t>Customer 012</t>
  </si>
  <si>
    <t>Moisturizer</t>
  </si>
  <si>
    <t>ORD1013</t>
  </si>
  <si>
    <t>Customer 013</t>
  </si>
  <si>
    <t>Sports</t>
  </si>
  <si>
    <t>Dumbbell Set</t>
  </si>
  <si>
    <t>ORD1014</t>
  </si>
  <si>
    <t>Customer 014</t>
  </si>
  <si>
    <t>Cash</t>
  </si>
  <si>
    <t>Salt Lake</t>
  </si>
  <si>
    <t>ORD1015</t>
  </si>
  <si>
    <t>Customer 015</t>
  </si>
  <si>
    <t>Skin Care Kit</t>
  </si>
  <si>
    <t>ORD1016</t>
  </si>
  <si>
    <t>Customer 016</t>
  </si>
  <si>
    <t>Football</t>
  </si>
  <si>
    <t>ORD1017</t>
  </si>
  <si>
    <t>Customer 017</t>
  </si>
  <si>
    <t>ORD1018</t>
  </si>
  <si>
    <t>Customer 018</t>
  </si>
  <si>
    <t>Neha Gupta</t>
  </si>
  <si>
    <t>Whitefield</t>
  </si>
  <si>
    <t>ORD1019</t>
  </si>
  <si>
    <t>Customer 019</t>
  </si>
  <si>
    <t>Backpack</t>
  </si>
  <si>
    <t>ORD1020</t>
  </si>
  <si>
    <t>Customer 020</t>
  </si>
  <si>
    <t>ORD1021</t>
  </si>
  <si>
    <t>Customer 021</t>
  </si>
  <si>
    <t>Mumbai</t>
  </si>
  <si>
    <t>Tennis Racket</t>
  </si>
  <si>
    <t>Borivali</t>
  </si>
  <si>
    <t>ORD1022</t>
  </si>
  <si>
    <t>Customer 022</t>
  </si>
  <si>
    <t>Denim Jeans</t>
  </si>
  <si>
    <t>Kothrud</t>
  </si>
  <si>
    <t>ORD1023</t>
  </si>
  <si>
    <t>Customer 023</t>
  </si>
  <si>
    <t>ORD1024</t>
  </si>
  <si>
    <t>Customer 024</t>
  </si>
  <si>
    <t>ORD1025</t>
  </si>
  <si>
    <t>Customer 025</t>
  </si>
  <si>
    <t>Cricket Bat</t>
  </si>
  <si>
    <t>ORD1026</t>
  </si>
  <si>
    <t>Customer 026</t>
  </si>
  <si>
    <t>ORD1027</t>
  </si>
  <si>
    <t>Customer 027</t>
  </si>
  <si>
    <t>ORD1028</t>
  </si>
  <si>
    <t>Customer 028</t>
  </si>
  <si>
    <t>ORD1029</t>
  </si>
  <si>
    <t>Customer 029</t>
  </si>
  <si>
    <t>Yoga Mat</t>
  </si>
  <si>
    <t>ORD1030</t>
  </si>
  <si>
    <t>Customer 030</t>
  </si>
  <si>
    <t>ORD1031</t>
  </si>
  <si>
    <t>Customer 031</t>
  </si>
  <si>
    <t>ORD1032</t>
  </si>
  <si>
    <t>Customer 032</t>
  </si>
  <si>
    <t>ORD1033</t>
  </si>
  <si>
    <t>Customer 033</t>
  </si>
  <si>
    <t>Andheri</t>
  </si>
  <si>
    <t>ORD1034</t>
  </si>
  <si>
    <t>Customer 034</t>
  </si>
  <si>
    <t>Indiranagar</t>
  </si>
  <si>
    <t>ORD1035</t>
  </si>
  <si>
    <t>Customer 035</t>
  </si>
  <si>
    <t>ORD1036</t>
  </si>
  <si>
    <t>Customer 036</t>
  </si>
  <si>
    <t>Navrangpura</t>
  </si>
  <si>
    <t>ORD1037</t>
  </si>
  <si>
    <t>Customer 037</t>
  </si>
  <si>
    <t>Vaishali Nagar</t>
  </si>
  <si>
    <t>ORD1038</t>
  </si>
  <si>
    <t>Customer 038</t>
  </si>
  <si>
    <t>Hinjewadi</t>
  </si>
  <si>
    <t>ORD1039</t>
  </si>
  <si>
    <t>Customer 039</t>
  </si>
  <si>
    <t>ORD1040</t>
  </si>
  <si>
    <t>Customer 040</t>
  </si>
  <si>
    <t>ORD1041</t>
  </si>
  <si>
    <t>Customer 041</t>
  </si>
  <si>
    <t>ORD1042</t>
  </si>
  <si>
    <t>Customer 042</t>
  </si>
  <si>
    <t>ORD1043</t>
  </si>
  <si>
    <t>Customer 043</t>
  </si>
  <si>
    <t>ORD1044</t>
  </si>
  <si>
    <t>Customer 044</t>
  </si>
  <si>
    <t>ORD1045</t>
  </si>
  <si>
    <t>Customer 045</t>
  </si>
  <si>
    <t>ORD1046</t>
  </si>
  <si>
    <t>Customer 046</t>
  </si>
  <si>
    <t>Mixer Grinder</t>
  </si>
  <si>
    <t>ORD1047</t>
  </si>
  <si>
    <t>Customer 047</t>
  </si>
  <si>
    <t>Electric Kettle</t>
  </si>
  <si>
    <t>ORD1048</t>
  </si>
  <si>
    <t>Customer 048</t>
  </si>
  <si>
    <t>ORD1049</t>
  </si>
  <si>
    <t>Customer 049</t>
  </si>
  <si>
    <t>ORD1050</t>
  </si>
  <si>
    <t>Customer 050</t>
  </si>
  <si>
    <t>ORD1051</t>
  </si>
  <si>
    <t>Customer 051</t>
  </si>
  <si>
    <t>Bopal</t>
  </si>
  <si>
    <t>ORD1052</t>
  </si>
  <si>
    <t>Customer 052</t>
  </si>
  <si>
    <t>ORD1053</t>
  </si>
  <si>
    <t>Customer 053</t>
  </si>
  <si>
    <t>Madhapur</t>
  </si>
  <si>
    <t>ORD1054</t>
  </si>
  <si>
    <t>Customer 054</t>
  </si>
  <si>
    <t>ORD1055</t>
  </si>
  <si>
    <t>Customer 055</t>
  </si>
  <si>
    <t>Gachibowli</t>
  </si>
  <si>
    <t>ORD1056</t>
  </si>
  <si>
    <t>Customer 056</t>
  </si>
  <si>
    <t>ORD1057</t>
  </si>
  <si>
    <t>Customer 057</t>
  </si>
  <si>
    <t>ORD1058</t>
  </si>
  <si>
    <t>Customer 058</t>
  </si>
  <si>
    <t>ORD1059</t>
  </si>
  <si>
    <t>Customer 059</t>
  </si>
  <si>
    <t>ORD1060</t>
  </si>
  <si>
    <t>Customer 060</t>
  </si>
  <si>
    <t>ORD1061</t>
  </si>
  <si>
    <t>Customer 061</t>
  </si>
  <si>
    <t>ORD1062</t>
  </si>
  <si>
    <t>Customer 062</t>
  </si>
  <si>
    <t>ORD1063</t>
  </si>
  <si>
    <t>Customer 063</t>
  </si>
  <si>
    <t>ORD1064</t>
  </si>
  <si>
    <t>Customer 064</t>
  </si>
  <si>
    <t>ORD1065</t>
  </si>
  <si>
    <t>Customer 065</t>
  </si>
  <si>
    <t>Coffee Maker</t>
  </si>
  <si>
    <t>ORD1066</t>
  </si>
  <si>
    <t>Customer 066</t>
  </si>
  <si>
    <t>Hair Dryer</t>
  </si>
  <si>
    <t>ORD1067</t>
  </si>
  <si>
    <t>Customer 067</t>
  </si>
  <si>
    <t>ORD1068</t>
  </si>
  <si>
    <t>Customer 068</t>
  </si>
  <si>
    <t>Air Fryer</t>
  </si>
  <si>
    <t>ORD1069</t>
  </si>
  <si>
    <t>Customer 069</t>
  </si>
  <si>
    <t>ORD1070</t>
  </si>
  <si>
    <t>Customer 070</t>
  </si>
  <si>
    <t>ORD1071</t>
  </si>
  <si>
    <t>Customer 071</t>
  </si>
  <si>
    <t>ORD1072</t>
  </si>
  <si>
    <t>Customer 072</t>
  </si>
  <si>
    <t>ORD1073</t>
  </si>
  <si>
    <t>Customer 073</t>
  </si>
  <si>
    <t>ORD1074</t>
  </si>
  <si>
    <t>Customer 074</t>
  </si>
  <si>
    <t>ORD1075</t>
  </si>
  <si>
    <t>Customer 075</t>
  </si>
  <si>
    <t>Thane</t>
  </si>
  <si>
    <t>ORD1076</t>
  </si>
  <si>
    <t>Customer 076</t>
  </si>
  <si>
    <t>ORD1077</t>
  </si>
  <si>
    <t>Customer 077</t>
  </si>
  <si>
    <t>ORD1078</t>
  </si>
  <si>
    <t>Customer 078</t>
  </si>
  <si>
    <t>ORD1079</t>
  </si>
  <si>
    <t>Customer 079</t>
  </si>
  <si>
    <t>ORD1080</t>
  </si>
  <si>
    <t>Customer 080</t>
  </si>
  <si>
    <t>ORD1081</t>
  </si>
  <si>
    <t>Customer 081</t>
  </si>
  <si>
    <t>ORD1082</t>
  </si>
  <si>
    <t>Customer 082</t>
  </si>
  <si>
    <t>ORD1083</t>
  </si>
  <si>
    <t>Customer 083</t>
  </si>
  <si>
    <t>ORD1084</t>
  </si>
  <si>
    <t>Customer 084</t>
  </si>
  <si>
    <t>ORD1085</t>
  </si>
  <si>
    <t>Customer 085</t>
  </si>
  <si>
    <t>ORD1086</t>
  </si>
  <si>
    <t>Customer 086</t>
  </si>
  <si>
    <t>ORD1087</t>
  </si>
  <si>
    <t>Customer 087</t>
  </si>
  <si>
    <t>ORD1088</t>
  </si>
  <si>
    <t>Customer 088</t>
  </si>
  <si>
    <t>ORD1089</t>
  </si>
  <si>
    <t>Customer 089</t>
  </si>
  <si>
    <t>ORD1090</t>
  </si>
  <si>
    <t>Customer 090</t>
  </si>
  <si>
    <t>ORD1091</t>
  </si>
  <si>
    <t>Customer 091</t>
  </si>
  <si>
    <t>ORD1092</t>
  </si>
  <si>
    <t>Customer 092</t>
  </si>
  <si>
    <t>ORD1093</t>
  </si>
  <si>
    <t>Customer 093</t>
  </si>
  <si>
    <t>ORD1094</t>
  </si>
  <si>
    <t>Customer 094</t>
  </si>
  <si>
    <t>ORD1095</t>
  </si>
  <si>
    <t>Customer 095</t>
  </si>
  <si>
    <t>ORD1096</t>
  </si>
  <si>
    <t>Customer 096</t>
  </si>
  <si>
    <t>Bluetooth Speaker</t>
  </si>
  <si>
    <t>ORD1097</t>
  </si>
  <si>
    <t>Customer 097</t>
  </si>
  <si>
    <t>ORD1098</t>
  </si>
  <si>
    <t>Customer 098</t>
  </si>
  <si>
    <t>ORD1099</t>
  </si>
  <si>
    <t>Customer 099</t>
  </si>
  <si>
    <t>ORD1100</t>
  </si>
  <si>
    <t>Customer 100</t>
  </si>
  <si>
    <t>ORD1101</t>
  </si>
  <si>
    <t>Customer 101</t>
  </si>
  <si>
    <t>ORD1102</t>
  </si>
  <si>
    <t>Customer 102</t>
  </si>
  <si>
    <t>ORD1103</t>
  </si>
  <si>
    <t>Customer 103</t>
  </si>
  <si>
    <t>ORD1104</t>
  </si>
  <si>
    <t>Customer 104</t>
  </si>
  <si>
    <t>ORD1105</t>
  </si>
  <si>
    <t>Customer 105</t>
  </si>
  <si>
    <t>ORD1106</t>
  </si>
  <si>
    <t>Customer 106</t>
  </si>
  <si>
    <t>ORD1107</t>
  </si>
  <si>
    <t>Customer 107</t>
  </si>
  <si>
    <t>ORD1108</t>
  </si>
  <si>
    <t>Customer 108</t>
  </si>
  <si>
    <t>ORD1109</t>
  </si>
  <si>
    <t>Customer 109</t>
  </si>
  <si>
    <t>ORD1110</t>
  </si>
  <si>
    <t>Customer 110</t>
  </si>
  <si>
    <t>ORD1111</t>
  </si>
  <si>
    <t>Customer 111</t>
  </si>
  <si>
    <t>ORD1112</t>
  </si>
  <si>
    <t>Customer 112</t>
  </si>
  <si>
    <t>ORD1113</t>
  </si>
  <si>
    <t>Customer 113</t>
  </si>
  <si>
    <t>ORD1114</t>
  </si>
  <si>
    <t>Customer 114</t>
  </si>
  <si>
    <t>ORD1115</t>
  </si>
  <si>
    <t>Customer 115</t>
  </si>
  <si>
    <t>ORD1116</t>
  </si>
  <si>
    <t>Customer 116</t>
  </si>
  <si>
    <t>ORD1117</t>
  </si>
  <si>
    <t>Customer 117</t>
  </si>
  <si>
    <t>ORD1118</t>
  </si>
  <si>
    <t>Customer 118</t>
  </si>
  <si>
    <t>ORD1119</t>
  </si>
  <si>
    <t>Customer 119</t>
  </si>
  <si>
    <t>ORD1120</t>
  </si>
  <si>
    <t>Customer 120</t>
  </si>
  <si>
    <t>ORD1121</t>
  </si>
  <si>
    <t>Customer 121</t>
  </si>
  <si>
    <t>ORD1122</t>
  </si>
  <si>
    <t>Customer 122</t>
  </si>
  <si>
    <t>ORD1123</t>
  </si>
  <si>
    <t>Customer 123</t>
  </si>
  <si>
    <t>ORD1124</t>
  </si>
  <si>
    <t>Customer 124</t>
  </si>
  <si>
    <t>ORD1125</t>
  </si>
  <si>
    <t>Customer 125</t>
  </si>
  <si>
    <t>ORD1126</t>
  </si>
  <si>
    <t>Customer 126</t>
  </si>
  <si>
    <t>ORD1127</t>
  </si>
  <si>
    <t>Customer 127</t>
  </si>
  <si>
    <t>ORD1128</t>
  </si>
  <si>
    <t>Customer 128</t>
  </si>
  <si>
    <t>ORD1129</t>
  </si>
  <si>
    <t>Customer 129</t>
  </si>
  <si>
    <t>ORD1130</t>
  </si>
  <si>
    <t>Customer 130</t>
  </si>
  <si>
    <t>ORD1131</t>
  </si>
  <si>
    <t>Customer 131</t>
  </si>
  <si>
    <t>ORD1132</t>
  </si>
  <si>
    <t>Customer 132</t>
  </si>
  <si>
    <t>ORD1133</t>
  </si>
  <si>
    <t>Customer 133</t>
  </si>
  <si>
    <t>ORD1134</t>
  </si>
  <si>
    <t>Customer 134</t>
  </si>
  <si>
    <t>ORD1135</t>
  </si>
  <si>
    <t>Customer 135</t>
  </si>
  <si>
    <t>ORD1136</t>
  </si>
  <si>
    <t>Customer 136</t>
  </si>
  <si>
    <t>ORD1137</t>
  </si>
  <si>
    <t>Customer 137</t>
  </si>
  <si>
    <t>ORD1138</t>
  </si>
  <si>
    <t>Customer 138</t>
  </si>
  <si>
    <t>ORD1139</t>
  </si>
  <si>
    <t>Customer 139</t>
  </si>
  <si>
    <t>ORD1140</t>
  </si>
  <si>
    <t>Customer 140</t>
  </si>
  <si>
    <t>ORD1141</t>
  </si>
  <si>
    <t>Customer 141</t>
  </si>
  <si>
    <t>ORD1142</t>
  </si>
  <si>
    <t>Customer 142</t>
  </si>
  <si>
    <t>ORD1143</t>
  </si>
  <si>
    <t>Customer 143</t>
  </si>
  <si>
    <t>ORD1144</t>
  </si>
  <si>
    <t>Customer 144</t>
  </si>
  <si>
    <t>ORD1145</t>
  </si>
  <si>
    <t>Customer 145</t>
  </si>
  <si>
    <t>ORD1146</t>
  </si>
  <si>
    <t>Customer 146</t>
  </si>
  <si>
    <t>ORD1147</t>
  </si>
  <si>
    <t>Customer 147</t>
  </si>
  <si>
    <t>ORD1148</t>
  </si>
  <si>
    <t>Customer 148</t>
  </si>
  <si>
    <t>ORD1149</t>
  </si>
  <si>
    <t>Customer 149</t>
  </si>
  <si>
    <t>ORD1150</t>
  </si>
  <si>
    <t>Customer 150</t>
  </si>
  <si>
    <t>ORD1151</t>
  </si>
  <si>
    <t>Customer 151</t>
  </si>
  <si>
    <t>ORD1152</t>
  </si>
  <si>
    <t>Customer 152</t>
  </si>
  <si>
    <t>ORD1153</t>
  </si>
  <si>
    <t>Customer 153</t>
  </si>
  <si>
    <t>ORD1154</t>
  </si>
  <si>
    <t>Customer 154</t>
  </si>
  <si>
    <t>ORD1155</t>
  </si>
  <si>
    <t>Customer 155</t>
  </si>
  <si>
    <t>ORD1156</t>
  </si>
  <si>
    <t>Customer 156</t>
  </si>
  <si>
    <t>ORD1157</t>
  </si>
  <si>
    <t>Customer 157</t>
  </si>
  <si>
    <t>ORD1158</t>
  </si>
  <si>
    <t>Customer 158</t>
  </si>
  <si>
    <t>ORD1159</t>
  </si>
  <si>
    <t>Customer 159</t>
  </si>
  <si>
    <t>ORD1160</t>
  </si>
  <si>
    <t>Customer 160</t>
  </si>
  <si>
    <t>ORD1161</t>
  </si>
  <si>
    <t>Customer 161</t>
  </si>
  <si>
    <t>ORD1162</t>
  </si>
  <si>
    <t>Customer 162</t>
  </si>
  <si>
    <t>ORD1163</t>
  </si>
  <si>
    <t>Customer 163</t>
  </si>
  <si>
    <t>ORD1164</t>
  </si>
  <si>
    <t>Customer 164</t>
  </si>
  <si>
    <t>ORD1165</t>
  </si>
  <si>
    <t>Customer 165</t>
  </si>
  <si>
    <t>ORD1166</t>
  </si>
  <si>
    <t>Customer 166</t>
  </si>
  <si>
    <t>ORD1167</t>
  </si>
  <si>
    <t>Customer 167</t>
  </si>
  <si>
    <t>ORD1168</t>
  </si>
  <si>
    <t>Customer 168</t>
  </si>
  <si>
    <t>ORD1169</t>
  </si>
  <si>
    <t>Customer 169</t>
  </si>
  <si>
    <t>ORD1170</t>
  </si>
  <si>
    <t>Customer 170</t>
  </si>
  <si>
    <t>ORD1171</t>
  </si>
  <si>
    <t>Customer 171</t>
  </si>
  <si>
    <t>ORD1172</t>
  </si>
  <si>
    <t>Customer 172</t>
  </si>
  <si>
    <t>ORD1173</t>
  </si>
  <si>
    <t>Customer 173</t>
  </si>
  <si>
    <t>ORD1174</t>
  </si>
  <si>
    <t>Customer 174</t>
  </si>
  <si>
    <t>ORD1175</t>
  </si>
  <si>
    <t>Customer 175</t>
  </si>
  <si>
    <t>ORD1176</t>
  </si>
  <si>
    <t>Customer 176</t>
  </si>
  <si>
    <t>ORD1177</t>
  </si>
  <si>
    <t>Customer 177</t>
  </si>
  <si>
    <t>ORD1178</t>
  </si>
  <si>
    <t>Customer 178</t>
  </si>
  <si>
    <t>ORD1179</t>
  </si>
  <si>
    <t>Customer 179</t>
  </si>
  <si>
    <t>ORD1180</t>
  </si>
  <si>
    <t>Customer 180</t>
  </si>
  <si>
    <t>ORD1181</t>
  </si>
  <si>
    <t>Customer 181</t>
  </si>
  <si>
    <t>ORD1182</t>
  </si>
  <si>
    <t>Customer 182</t>
  </si>
  <si>
    <t>ORD1183</t>
  </si>
  <si>
    <t>Customer 183</t>
  </si>
  <si>
    <t>ORD1184</t>
  </si>
  <si>
    <t>Customer 184</t>
  </si>
  <si>
    <t>ORD1185</t>
  </si>
  <si>
    <t>Customer 185</t>
  </si>
  <si>
    <t>ORD1186</t>
  </si>
  <si>
    <t>Customer 186</t>
  </si>
  <si>
    <t>ORD1187</t>
  </si>
  <si>
    <t>Customer 187</t>
  </si>
  <si>
    <t>ORD1188</t>
  </si>
  <si>
    <t>Customer 188</t>
  </si>
  <si>
    <t>ORD1189</t>
  </si>
  <si>
    <t>Customer 189</t>
  </si>
  <si>
    <t>ORD1190</t>
  </si>
  <si>
    <t>Customer 190</t>
  </si>
  <si>
    <t>ORD1191</t>
  </si>
  <si>
    <t>Customer 191</t>
  </si>
  <si>
    <t>ORD1192</t>
  </si>
  <si>
    <t>Customer 192</t>
  </si>
  <si>
    <t>ORD1193</t>
  </si>
  <si>
    <t>Customer 193</t>
  </si>
  <si>
    <t>ORD1194</t>
  </si>
  <si>
    <t>Customer 194</t>
  </si>
  <si>
    <t>ORD1195</t>
  </si>
  <si>
    <t>Customer 195</t>
  </si>
  <si>
    <t>ORD1196</t>
  </si>
  <si>
    <t>Customer 196</t>
  </si>
  <si>
    <t>ORD1197</t>
  </si>
  <si>
    <t>Customer 197</t>
  </si>
  <si>
    <t>ORD1198</t>
  </si>
  <si>
    <t>Customer 198</t>
  </si>
  <si>
    <t>ORD1199</t>
  </si>
  <si>
    <t>Customer 199</t>
  </si>
  <si>
    <t>ORD1200</t>
  </si>
  <si>
    <t>Customer 200</t>
  </si>
  <si>
    <t>ORD1201</t>
  </si>
  <si>
    <t>Customer 201</t>
  </si>
  <si>
    <t>ORD1202</t>
  </si>
  <si>
    <t>Customer 202</t>
  </si>
  <si>
    <t>ORD1203</t>
  </si>
  <si>
    <t>Customer 203</t>
  </si>
  <si>
    <t>ORD1204</t>
  </si>
  <si>
    <t>Customer 204</t>
  </si>
  <si>
    <t>ORD1205</t>
  </si>
  <si>
    <t>Customer 205</t>
  </si>
  <si>
    <t>ORD1206</t>
  </si>
  <si>
    <t>Customer 206</t>
  </si>
  <si>
    <t>ORD1207</t>
  </si>
  <si>
    <t>Customer 207</t>
  </si>
  <si>
    <t>ORD1208</t>
  </si>
  <si>
    <t>Customer 208</t>
  </si>
  <si>
    <t>ORD1209</t>
  </si>
  <si>
    <t>Customer 209</t>
  </si>
  <si>
    <t>ORD1210</t>
  </si>
  <si>
    <t>Customer 210</t>
  </si>
  <si>
    <t>ORD1211</t>
  </si>
  <si>
    <t>Customer 211</t>
  </si>
  <si>
    <t>ORD1212</t>
  </si>
  <si>
    <t>Customer 212</t>
  </si>
  <si>
    <t>ORD1213</t>
  </si>
  <si>
    <t>Customer 213</t>
  </si>
  <si>
    <t>ORD1214</t>
  </si>
  <si>
    <t>Customer 214</t>
  </si>
  <si>
    <t>ORD1215</t>
  </si>
  <si>
    <t>Customer 215</t>
  </si>
  <si>
    <t>ORD1216</t>
  </si>
  <si>
    <t>Customer 216</t>
  </si>
  <si>
    <t>ORD1217</t>
  </si>
  <si>
    <t>Customer 217</t>
  </si>
  <si>
    <t>ORD1218</t>
  </si>
  <si>
    <t>Customer 218</t>
  </si>
  <si>
    <t>ORD1219</t>
  </si>
  <si>
    <t>Customer 219</t>
  </si>
  <si>
    <t>ORD1220</t>
  </si>
  <si>
    <t>Customer 220</t>
  </si>
  <si>
    <t>ORD1221</t>
  </si>
  <si>
    <t>Customer 221</t>
  </si>
  <si>
    <t>ORD1222</t>
  </si>
  <si>
    <t>Customer 222</t>
  </si>
  <si>
    <t>ORD1223</t>
  </si>
  <si>
    <t>Customer 223</t>
  </si>
  <si>
    <t>ORD1224</t>
  </si>
  <si>
    <t>Customer 224</t>
  </si>
  <si>
    <t>ORD1225</t>
  </si>
  <si>
    <t>Customer 225</t>
  </si>
  <si>
    <t>ORD1226</t>
  </si>
  <si>
    <t>Customer 226</t>
  </si>
  <si>
    <t>ORD1227</t>
  </si>
  <si>
    <t>Customer 227</t>
  </si>
  <si>
    <t>ORD1228</t>
  </si>
  <si>
    <t>Customer 228</t>
  </si>
  <si>
    <t>ORD1229</t>
  </si>
  <si>
    <t>Customer 229</t>
  </si>
  <si>
    <t>ORD1230</t>
  </si>
  <si>
    <t>Customer 230</t>
  </si>
  <si>
    <t>ORD1231</t>
  </si>
  <si>
    <t>Customer 231</t>
  </si>
  <si>
    <t>ORD1232</t>
  </si>
  <si>
    <t>Customer 232</t>
  </si>
  <si>
    <t>ORD1233</t>
  </si>
  <si>
    <t>Customer 233</t>
  </si>
  <si>
    <t>ORD1234</t>
  </si>
  <si>
    <t>Customer 234</t>
  </si>
  <si>
    <t>ORD1235</t>
  </si>
  <si>
    <t>Customer 235</t>
  </si>
  <si>
    <t>ORD1236</t>
  </si>
  <si>
    <t>Customer 236</t>
  </si>
  <si>
    <t>ORD1237</t>
  </si>
  <si>
    <t>Customer 237</t>
  </si>
  <si>
    <t>ORD1238</t>
  </si>
  <si>
    <t>Customer 238</t>
  </si>
  <si>
    <t>ORD1239</t>
  </si>
  <si>
    <t>Customer 239</t>
  </si>
  <si>
    <t>ORD1240</t>
  </si>
  <si>
    <t>Customer 240</t>
  </si>
  <si>
    <t>ORD1241</t>
  </si>
  <si>
    <t>Customer 241</t>
  </si>
  <si>
    <t>ORD1242</t>
  </si>
  <si>
    <t>Customer 242</t>
  </si>
  <si>
    <t>ORD1243</t>
  </si>
  <si>
    <t>Customer 243</t>
  </si>
  <si>
    <t>ORD1244</t>
  </si>
  <si>
    <t>Customer 244</t>
  </si>
  <si>
    <t>ORD1245</t>
  </si>
  <si>
    <t>Customer 245</t>
  </si>
  <si>
    <t>ORD1246</t>
  </si>
  <si>
    <t>Customer 246</t>
  </si>
  <si>
    <t>ORD1247</t>
  </si>
  <si>
    <t>Customer 247</t>
  </si>
  <si>
    <t>ORD1248</t>
  </si>
  <si>
    <t>Customer 248</t>
  </si>
  <si>
    <t>ORD1249</t>
  </si>
  <si>
    <t>Customer 249</t>
  </si>
  <si>
    <t>ORD1250</t>
  </si>
  <si>
    <t>Customer 250</t>
  </si>
  <si>
    <t>Month</t>
  </si>
  <si>
    <t>RETAIL SALES | PIVOT ANALYSIS</t>
  </si>
  <si>
    <t>Total Sales</t>
  </si>
  <si>
    <t>Grand Total</t>
  </si>
  <si>
    <t>Values</t>
  </si>
  <si>
    <t>Total Orders</t>
  </si>
  <si>
    <t>Total Quantity</t>
  </si>
  <si>
    <t>Average Order Value</t>
  </si>
  <si>
    <t>RETAIL SALES &amp; CUSTOMER INSIGHTS</t>
  </si>
  <si>
    <t>INTERACTIVE SALES DASHBOARD  |  Select a slicer to filter every chart and KPI</t>
  </si>
  <si>
    <t>TOTAL SALES</t>
  </si>
  <si>
    <t>TOTAL ORDERS</t>
  </si>
  <si>
    <t>TOTAL QUANTITY</t>
  </si>
  <si>
    <t>AVG. ORDER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</si>
</sst>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 #,##0.00"/>
    <numFmt numFmtId="165" formatCode="dd\-mmm\-yyyy"/>
    <numFmt numFmtId="166" formatCode="mmm\ yyyy"/>
    <numFmt numFmtId="167" formatCode="?#,##0"/>
    <numFmt numFmtId="168" formatCode="?#,##0.00"/>
  </numFmts>
  <fonts count="9">
    <font>
      <sz val="11"/>
      <color theme="1"/>
      <name val="Calibri"/>
      <family val="2"/>
      <scheme val="minor"/>
    </font>
    <font>
      <b/>
      <i/>
      <sz val="12"/>
      <color theme="1"/>
      <name val="Bahnschrift Light"/>
      <family val="2"/>
    </font>
    <font>
      <b/>
      <i/>
      <sz val="12"/>
      <color theme="1"/>
      <name val="Bahnschrift Light"/>
    </font>
    <font>
      <sz val="10"/>
      <color theme="1"/>
      <name val="Aptos"/>
    </font>
    <font>
      <b/>
      <sz val="10"/>
      <color rgb="FFFFFFFF"/>
      <name val="Aptos"/>
    </font>
    <font>
      <b/>
      <sz val="18"/>
      <color rgb="FFFFFFFF"/>
      <name val="Aptos"/>
    </font>
    <font>
      <b/>
      <sz val="17"/>
      <color rgb="FF162543"/>
      <name val="Aptos"/>
    </font>
    <font>
      <b/>
      <i/>
      <sz val="14"/>
      <color rgb="FF162543"/>
      <name val="Aptos"/>
    </font>
    <font>
      <b/>
      <sz val="26"/>
      <color rgb="FFFFFFFF"/>
      <name val="Aptos"/>
    </font>
  </fonts>
  <fills count="8">
    <fill>
      <patternFill patternType="none"/>
    </fill>
    <fill>
      <patternFill patternType="gray125"/>
    </fill>
    <fill>
      <patternFill patternType="solid">
        <fgColor theme="7" tint="0.79998168889431442"/>
        <bgColor indexed="64"/>
      </patternFill>
    </fill>
    <fill>
      <patternFill patternType="solid">
        <fgColor rgb="FF142341"/>
        <bgColor indexed="64"/>
      </patternFill>
    </fill>
    <fill>
      <patternFill patternType="solid">
        <fgColor rgb="FFF2F6FA"/>
        <bgColor indexed="64"/>
      </patternFill>
    </fill>
    <fill>
      <patternFill patternType="solid">
        <fgColor rgb="FF162543"/>
        <bgColor indexed="64"/>
      </patternFill>
    </fill>
    <fill>
      <patternFill patternType="solid">
        <fgColor rgb="FF009B91"/>
        <bgColor indexed="64"/>
      </patternFill>
    </fill>
    <fill>
      <patternFill patternType="solid">
        <fgColor rgb="FFFFFFFF"/>
        <bgColor indexed="64"/>
      </patternFill>
    </fill>
  </fills>
  <borders count="2">
    <border>
      <left/>
      <right/>
      <top/>
      <bottom/>
      <diagonal/>
    </border>
    <border>
      <left style="thin">
        <color rgb="FF009B91"/>
      </left>
      <right style="thin">
        <color rgb="FF009B91"/>
      </right>
      <top style="thin">
        <color rgb="FF009B91"/>
      </top>
      <bottom style="thin">
        <color rgb="FF009B91"/>
      </bottom>
      <diagonal/>
    </border>
  </borders>
  <cellStyleXfs count="1">
    <xf numFmtId="0" fontId="0" fillId="0" borderId="0"/>
  </cellStyleXfs>
  <cellXfs count="24">
    <xf numFmtId="0" fontId="0" fillId="0" borderId="0" xfId="0"/>
    <xf numFmtId="0" fontId="1" fillId="2" borderId="0" xfId="0" applyFont="1" applyFill="1"/>
    <xf numFmtId="0" fontId="1" fillId="2" borderId="0" xfId="0" applyFont="1" applyFill="1" applyAlignment="1">
      <alignment horizontal="center"/>
    </xf>
    <xf numFmtId="0" fontId="0" fillId="0" borderId="0" xfId="0" applyAlignment="1">
      <alignment horizontal="center"/>
    </xf>
    <xf numFmtId="164" fontId="1" fillId="2" borderId="0" xfId="0" applyNumberFormat="1" applyFont="1" applyFill="1" applyAlignment="1">
      <alignment horizontal="right"/>
    </xf>
    <xf numFmtId="164" fontId="0" fillId="0" borderId="0" xfId="0" applyNumberFormat="1" applyAlignment="1">
      <alignment horizontal="right"/>
    </xf>
    <xf numFmtId="165" fontId="1" fillId="2" borderId="0" xfId="0" applyNumberFormat="1" applyFont="1" applyFill="1"/>
    <xf numFmtId="165" fontId="0" fillId="0" borderId="0" xfId="0" applyNumberFormat="1"/>
    <xf numFmtId="4" fontId="1" fillId="2" borderId="0" xfId="0" applyNumberFormat="1" applyFont="1" applyFill="1" applyAlignment="1">
      <alignment horizontal="right"/>
    </xf>
    <xf numFmtId="4" fontId="0" fillId="0" borderId="0" xfId="0" applyNumberFormat="1" applyAlignment="1">
      <alignment horizontal="right"/>
    </xf>
    <xf numFmtId="166" fontId="2" fillId="2" borderId="0" xfId="0" applyNumberFormat="1" applyFont="1" applyFill="1"/>
    <xf numFmtId="166" fontId="0" fillId="0" borderId="0" xfId="0" applyNumberFormat="1"/>
    <xf numFmtId="0" fontId="3" fillId="0" borderId="0" xfId="0" applyFont="1"/>
    <xf numFmtId="0" fontId="0" fillId="0" borderId="0" xfId="0" pivotButton="1"/>
    <xf numFmtId="0" fontId="0" fillId="0" borderId="0" xfId="0" applyNumberFormat="1"/>
    <xf numFmtId="0" fontId="3" fillId="4" borderId="0" xfId="0" applyFont="1" applyFill="1"/>
    <xf numFmtId="0" fontId="8" fillId="5" borderId="0" xfId="0" applyFont="1" applyFill="1" applyAlignment="1">
      <alignment horizontal="center" vertical="center"/>
    </xf>
    <xf numFmtId="0" fontId="7" fillId="4" borderId="0" xfId="0" applyFont="1" applyFill="1" applyAlignment="1">
      <alignment horizontal="center" vertical="center"/>
    </xf>
    <xf numFmtId="0" fontId="4" fillId="6" borderId="0" xfId="0" applyFont="1" applyFill="1" applyAlignment="1">
      <alignment horizontal="center" vertical="center"/>
    </xf>
    <xf numFmtId="167" fontId="6" fillId="7" borderId="1" xfId="0" applyNumberFormat="1" applyFont="1" applyFill="1" applyBorder="1" applyAlignment="1">
      <alignment horizontal="center" vertical="center"/>
    </xf>
    <xf numFmtId="0" fontId="6" fillId="7" borderId="1" xfId="0" applyFont="1" applyFill="1" applyBorder="1" applyAlignment="1">
      <alignment horizontal="center" vertical="center"/>
    </xf>
    <xf numFmtId="3"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0" fontId="5" fillId="3" borderId="0" xfId="0" applyFont="1" applyFill="1" applyAlignment="1">
      <alignment horizontal="center" vertical="center"/>
    </xf>
  </cellXfs>
  <cellStyles count="1">
    <cellStyle name="Normal" xfId="0" builtinId="0"/>
  </cellStyles>
  <dxfs count="10">
    <dxf>
      <numFmt numFmtId="166" formatCode="mmm\ yyyy"/>
    </dxf>
    <dxf>
      <numFmt numFmtId="4" formatCode="#,##0.00"/>
      <alignment horizontal="right"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m\-yyyy"/>
    </dxf>
    <dxf>
      <alignment horizontal="center" vertical="bottom" textRotation="0" wrapText="0" indent="0" justifyLastLine="0" shrinkToFit="0" readingOrder="0"/>
    </dxf>
    <dxf>
      <font>
        <b/>
        <i/>
        <strike val="0"/>
        <condense val="0"/>
        <extend val="0"/>
        <outline val="0"/>
        <shadow val="0"/>
        <u val="none"/>
        <vertAlign val="baseline"/>
        <sz val="12"/>
        <color theme="1"/>
        <name val="Bahnschrift Light"/>
        <scheme val="none"/>
      </font>
      <fill>
        <patternFill patternType="solid">
          <fgColor indexed="64"/>
          <bgColor theme="7" tint="0.7999816888943144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Analysis!PT_Monthly_Sales</c:name>
    <c:fmtId val="2"/>
  </c:pivotSource>
  <c:chart>
    <c:title>
      <c:tx>
        <c:rich>
          <a:bodyPr/>
          <a:lstStyle/>
          <a:p>
            <a:pPr>
              <a:defRPr sz="1100" b="1"/>
            </a:pPr>
            <a:r>
              <a:rPr lang="en-IN" sz="1100" b="1"/>
              <a:t>Monthly Sales Trend</a:t>
            </a:r>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'Pivot Analysis'!$B$4</c:f>
              <c:strCache>
                <c:ptCount val="1"/>
                <c:pt idx="0">
                  <c:v>Total</c:v>
                </c:pt>
              </c:strCache>
            </c:strRef>
          </c:tx>
          <c:cat>
            <c:strRef>
              <c:f>'Pivot Analysis'!$A$5:$A$14</c:f>
              <c:strCache>
                <c:ptCount val="9"/>
                <c:pt idx="0">
                  <c:v>Jan 2026</c:v>
                </c:pt>
                <c:pt idx="1">
                  <c:v>Feb 2026</c:v>
                </c:pt>
                <c:pt idx="2">
                  <c:v>Mar 2026</c:v>
                </c:pt>
                <c:pt idx="3">
                  <c:v>Apr 2026</c:v>
                </c:pt>
                <c:pt idx="4">
                  <c:v>May 2026</c:v>
                </c:pt>
                <c:pt idx="5">
                  <c:v>Jun 2026</c:v>
                </c:pt>
                <c:pt idx="6">
                  <c:v>Jul 2026</c:v>
                </c:pt>
                <c:pt idx="7">
                  <c:v>Aug 2026</c:v>
                </c:pt>
                <c:pt idx="8">
                  <c:v>Sep 2026</c:v>
                </c:pt>
              </c:strCache>
            </c:strRef>
          </c:cat>
          <c:val>
            <c:numRef>
              <c:f>'Pivot Analysis'!$B$5:$B$14</c:f>
              <c:numCache>
                <c:formatCode>General</c:formatCode>
                <c:ptCount val="9"/>
                <c:pt idx="0">
                  <c:v>102349.20000000001</c:v>
                </c:pt>
                <c:pt idx="1">
                  <c:v>92650.05</c:v>
                </c:pt>
                <c:pt idx="2">
                  <c:v>112590.30000000003</c:v>
                </c:pt>
                <c:pt idx="3">
                  <c:v>122972.95000000001</c:v>
                </c:pt>
                <c:pt idx="4">
                  <c:v>125134.05000000003</c:v>
                </c:pt>
                <c:pt idx="5">
                  <c:v>136271.25</c:v>
                </c:pt>
                <c:pt idx="6">
                  <c:v>77591.55</c:v>
                </c:pt>
                <c:pt idx="7">
                  <c:v>165405.25000000003</c:v>
                </c:pt>
                <c:pt idx="8">
                  <c:v>166759.95000000001</c:v>
                </c:pt>
              </c:numCache>
            </c:numRef>
          </c:val>
          <c:smooth val="0"/>
        </c:ser>
        <c:dLbls>
          <c:showLegendKey val="0"/>
          <c:showVal val="0"/>
          <c:showCatName val="0"/>
          <c:showSerName val="0"/>
          <c:showPercent val="0"/>
          <c:showBubbleSize val="0"/>
        </c:dLbls>
        <c:marker val="1"/>
        <c:smooth val="0"/>
        <c:axId val="229000704"/>
        <c:axId val="229002240"/>
      </c:lineChart>
      <c:catAx>
        <c:axId val="229000704"/>
        <c:scaling>
          <c:orientation val="minMax"/>
        </c:scaling>
        <c:delete val="0"/>
        <c:axPos val="b"/>
        <c:majorTickMark val="out"/>
        <c:minorTickMark val="none"/>
        <c:tickLblPos val="nextTo"/>
        <c:crossAx val="229002240"/>
        <c:crosses val="autoZero"/>
        <c:auto val="1"/>
        <c:lblAlgn val="ctr"/>
        <c:lblOffset val="100"/>
        <c:noMultiLvlLbl val="0"/>
      </c:catAx>
      <c:valAx>
        <c:axId val="229002240"/>
        <c:scaling>
          <c:orientation val="minMax"/>
        </c:scaling>
        <c:delete val="0"/>
        <c:axPos val="l"/>
        <c:majorGridlines/>
        <c:numFmt formatCode="General" sourceLinked="1"/>
        <c:majorTickMark val="out"/>
        <c:minorTickMark val="none"/>
        <c:tickLblPos val="nextTo"/>
        <c:crossAx val="229000704"/>
        <c:crosses val="autoZero"/>
        <c:crossBetween val="between"/>
      </c:valAx>
      <c:spPr>
        <a:solidFill>
          <a:srgbClr val="FFFFFF"/>
        </a:solidFill>
      </c:spPr>
    </c:plotArea>
    <c:plotVisOnly val="1"/>
    <c:dispBlanksAs val="gap"/>
    <c:showDLblsOverMax val="0"/>
  </c:chart>
  <c:spPr>
    <a:solidFill>
      <a:srgbClr val="FFFFFF"/>
    </a:solidFill>
    <a:ln w="12700">
      <a:solidFill>
        <a:srgbClr val="DCE4EC"/>
      </a:solidFill>
    </a:ln>
  </c:sp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Analysis!PT_Category_Sales</c:name>
    <c:fmtId val="2"/>
  </c:pivotSource>
  <c:chart>
    <c:title>
      <c:tx>
        <c:rich>
          <a:bodyPr/>
          <a:lstStyle/>
          <a:p>
            <a:pPr>
              <a:defRPr sz="1100" b="1"/>
            </a:pPr>
            <a:r>
              <a:rPr lang="en-IN" sz="1100" b="1"/>
              <a:t>Sales by Category</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Analysis'!$I$4</c:f>
              <c:strCache>
                <c:ptCount val="1"/>
                <c:pt idx="0">
                  <c:v>Total</c:v>
                </c:pt>
              </c:strCache>
            </c:strRef>
          </c:tx>
          <c:invertIfNegative val="0"/>
          <c:cat>
            <c:strRef>
              <c:f>'Pivot Analysis'!$H$5:$H$10</c:f>
              <c:strCache>
                <c:ptCount val="5"/>
                <c:pt idx="0">
                  <c:v>Beauty</c:v>
                </c:pt>
                <c:pt idx="1">
                  <c:v>Electronics</c:v>
                </c:pt>
                <c:pt idx="2">
                  <c:v>Fashion</c:v>
                </c:pt>
                <c:pt idx="3">
                  <c:v>Home &amp; Kitchen</c:v>
                </c:pt>
                <c:pt idx="4">
                  <c:v>Sports</c:v>
                </c:pt>
              </c:strCache>
            </c:strRef>
          </c:cat>
          <c:val>
            <c:numRef>
              <c:f>'Pivot Analysis'!$I$5:$I$10</c:f>
              <c:numCache>
                <c:formatCode>General</c:formatCode>
                <c:ptCount val="5"/>
                <c:pt idx="0">
                  <c:v>247378.45000000004</c:v>
                </c:pt>
                <c:pt idx="1">
                  <c:v>112954.65</c:v>
                </c:pt>
                <c:pt idx="2">
                  <c:v>247101.65000000005</c:v>
                </c:pt>
                <c:pt idx="3">
                  <c:v>239766.09999999998</c:v>
                </c:pt>
                <c:pt idx="4">
                  <c:v>254523.70000000004</c:v>
                </c:pt>
              </c:numCache>
            </c:numRef>
          </c:val>
        </c:ser>
        <c:dLbls>
          <c:showLegendKey val="0"/>
          <c:showVal val="0"/>
          <c:showCatName val="0"/>
          <c:showSerName val="0"/>
          <c:showPercent val="0"/>
          <c:showBubbleSize val="0"/>
        </c:dLbls>
        <c:gapWidth val="150"/>
        <c:axId val="229051008"/>
        <c:axId val="229060992"/>
      </c:barChart>
      <c:catAx>
        <c:axId val="229051008"/>
        <c:scaling>
          <c:orientation val="minMax"/>
        </c:scaling>
        <c:delete val="0"/>
        <c:axPos val="b"/>
        <c:majorTickMark val="out"/>
        <c:minorTickMark val="none"/>
        <c:tickLblPos val="nextTo"/>
        <c:crossAx val="229060992"/>
        <c:crosses val="autoZero"/>
        <c:auto val="1"/>
        <c:lblAlgn val="ctr"/>
        <c:lblOffset val="100"/>
        <c:noMultiLvlLbl val="0"/>
      </c:catAx>
      <c:valAx>
        <c:axId val="229060992"/>
        <c:scaling>
          <c:orientation val="minMax"/>
        </c:scaling>
        <c:delete val="0"/>
        <c:axPos val="l"/>
        <c:majorGridlines/>
        <c:numFmt formatCode="General" sourceLinked="1"/>
        <c:majorTickMark val="out"/>
        <c:minorTickMark val="none"/>
        <c:tickLblPos val="nextTo"/>
        <c:crossAx val="229051008"/>
        <c:crosses val="autoZero"/>
        <c:crossBetween val="between"/>
      </c:valAx>
      <c:spPr>
        <a:solidFill>
          <a:srgbClr val="FFFFFF"/>
        </a:solidFill>
      </c:spPr>
    </c:plotArea>
    <c:legend>
      <c:legendPos val="r"/>
      <c:layout/>
      <c:overlay val="0"/>
    </c:legend>
    <c:plotVisOnly val="1"/>
    <c:dispBlanksAs val="gap"/>
    <c:showDLblsOverMax val="0"/>
  </c:chart>
  <c:spPr>
    <a:solidFill>
      <a:srgbClr val="FFFFFF"/>
    </a:solidFill>
    <a:ln w="12700">
      <a:solidFill>
        <a:srgbClr val="DCE4EC"/>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Analysis!PT_City_Sales</c:name>
    <c:fmtId val="2"/>
  </c:pivotSource>
  <c:chart>
    <c:title>
      <c:tx>
        <c:rich>
          <a:bodyPr/>
          <a:lstStyle/>
          <a:p>
            <a:pPr>
              <a:defRPr sz="1100" b="1"/>
            </a:pPr>
            <a:r>
              <a:rPr lang="en-IN" sz="1100" b="1"/>
              <a:t>Sales by City</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'Pivot Analysis'!$P$4</c:f>
              <c:strCache>
                <c:ptCount val="1"/>
                <c:pt idx="0">
                  <c:v>Total</c:v>
                </c:pt>
              </c:strCache>
            </c:strRef>
          </c:tx>
          <c:invertIfNegative val="0"/>
          <c:cat>
            <c:strRef>
              <c:f>'Pivot Analysis'!$O$5:$O$13</c:f>
              <c:strCache>
                <c:ptCount val="8"/>
                <c:pt idx="0">
                  <c:v>Ahmedabad</c:v>
                </c:pt>
                <c:pt idx="1">
                  <c:v>Bengaluru</c:v>
                </c:pt>
                <c:pt idx="2">
                  <c:v>Delhi</c:v>
                </c:pt>
                <c:pt idx="3">
                  <c:v>Hyderabad</c:v>
                </c:pt>
                <c:pt idx="4">
                  <c:v>Jaipur</c:v>
                </c:pt>
                <c:pt idx="5">
                  <c:v>Kolkata</c:v>
                </c:pt>
                <c:pt idx="6">
                  <c:v>Mumbai</c:v>
                </c:pt>
                <c:pt idx="7">
                  <c:v>Pune</c:v>
                </c:pt>
              </c:strCache>
            </c:strRef>
          </c:cat>
          <c:val>
            <c:numRef>
              <c:f>'Pivot Analysis'!$P$5:$P$13</c:f>
              <c:numCache>
                <c:formatCode>General</c:formatCode>
                <c:ptCount val="8"/>
                <c:pt idx="0">
                  <c:v>177647.85000000006</c:v>
                </c:pt>
                <c:pt idx="1">
                  <c:v>77018.399999999994</c:v>
                </c:pt>
                <c:pt idx="2">
                  <c:v>184220.44999999998</c:v>
                </c:pt>
                <c:pt idx="3">
                  <c:v>121048.35</c:v>
                </c:pt>
                <c:pt idx="4">
                  <c:v>170791.35</c:v>
                </c:pt>
                <c:pt idx="5">
                  <c:v>129115.15000000001</c:v>
                </c:pt>
                <c:pt idx="6">
                  <c:v>118217.05000000002</c:v>
                </c:pt>
                <c:pt idx="7">
                  <c:v>123665.95</c:v>
                </c:pt>
              </c:numCache>
            </c:numRef>
          </c:val>
        </c:ser>
        <c:dLbls>
          <c:showLegendKey val="0"/>
          <c:showVal val="0"/>
          <c:showCatName val="0"/>
          <c:showSerName val="0"/>
          <c:showPercent val="0"/>
          <c:showBubbleSize val="0"/>
        </c:dLbls>
        <c:gapWidth val="150"/>
        <c:axId val="229077376"/>
        <c:axId val="229078912"/>
      </c:barChart>
      <c:catAx>
        <c:axId val="229077376"/>
        <c:scaling>
          <c:orientation val="minMax"/>
        </c:scaling>
        <c:delete val="0"/>
        <c:axPos val="l"/>
        <c:majorTickMark val="out"/>
        <c:minorTickMark val="none"/>
        <c:tickLblPos val="nextTo"/>
        <c:crossAx val="229078912"/>
        <c:crosses val="autoZero"/>
        <c:auto val="1"/>
        <c:lblAlgn val="ctr"/>
        <c:lblOffset val="100"/>
        <c:noMultiLvlLbl val="0"/>
      </c:catAx>
      <c:valAx>
        <c:axId val="229078912"/>
        <c:scaling>
          <c:orientation val="minMax"/>
        </c:scaling>
        <c:delete val="0"/>
        <c:axPos val="b"/>
        <c:majorGridlines/>
        <c:numFmt formatCode="General" sourceLinked="1"/>
        <c:majorTickMark val="out"/>
        <c:minorTickMark val="none"/>
        <c:tickLblPos val="nextTo"/>
        <c:crossAx val="229077376"/>
        <c:crosses val="autoZero"/>
        <c:crossBetween val="between"/>
      </c:valAx>
      <c:spPr>
        <a:solidFill>
          <a:srgbClr val="FFFFFF"/>
        </a:solidFill>
      </c:spPr>
    </c:plotArea>
    <c:plotVisOnly val="1"/>
    <c:dispBlanksAs val="gap"/>
    <c:showDLblsOverMax val="0"/>
  </c:chart>
  <c:spPr>
    <a:solidFill>
      <a:srgbClr val="FFFFFF"/>
    </a:solidFill>
    <a:ln w="12700">
      <a:solidFill>
        <a:srgbClr val="DCE4EC"/>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Analysis!PT_Product_Sales</c:name>
    <c:fmtId val="2"/>
  </c:pivotSource>
  <c:chart>
    <c:title>
      <c:tx>
        <c:rich>
          <a:bodyPr/>
          <a:lstStyle/>
          <a:p>
            <a:pPr>
              <a:defRPr sz="1100" b="1"/>
            </a:pPr>
            <a:r>
              <a:rPr lang="en-IN" sz="1100" b="1"/>
              <a:t>Top Products by Sales</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'Pivot Analysis'!$B$25</c:f>
              <c:strCache>
                <c:ptCount val="1"/>
                <c:pt idx="0">
                  <c:v>Total</c:v>
                </c:pt>
              </c:strCache>
            </c:strRef>
          </c:tx>
          <c:invertIfNegative val="0"/>
          <c:cat>
            <c:strRef>
              <c:f>'Pivot Analysis'!$A$26:$A$51</c:f>
              <c:strCache>
                <c:ptCount val="25"/>
                <c:pt idx="0">
                  <c:v>Air Fryer</c:v>
                </c:pt>
                <c:pt idx="1">
                  <c:v>Backpack</c:v>
                </c:pt>
                <c:pt idx="2">
                  <c:v>Bluetooth Speaker</c:v>
                </c:pt>
                <c:pt idx="3">
                  <c:v>Casual Shirt</c:v>
                </c:pt>
                <c:pt idx="4">
                  <c:v>Coffee Maker</c:v>
                </c:pt>
                <c:pt idx="5">
                  <c:v>Cotton T-Shirt</c:v>
                </c:pt>
                <c:pt idx="6">
                  <c:v>Cricket Bat</c:v>
                </c:pt>
                <c:pt idx="7">
                  <c:v>Denim Jeans</c:v>
                </c:pt>
                <c:pt idx="8">
                  <c:v>Dumbbell Set</c:v>
                </c:pt>
                <c:pt idx="9">
                  <c:v>Electric Kettle</c:v>
                </c:pt>
                <c:pt idx="10">
                  <c:v>Face Wash</c:v>
                </c:pt>
                <c:pt idx="11">
                  <c:v>Football</c:v>
                </c:pt>
                <c:pt idx="12">
                  <c:v>Hair Dryer</c:v>
                </c:pt>
                <c:pt idx="13">
                  <c:v>Keyboard</c:v>
                </c:pt>
                <c:pt idx="14">
                  <c:v>Mixer Grinder</c:v>
                </c:pt>
                <c:pt idx="15">
                  <c:v>Moisturizer</c:v>
                </c:pt>
                <c:pt idx="16">
                  <c:v>Perfume</c:v>
                </c:pt>
                <c:pt idx="17">
                  <c:v>Power Bank</c:v>
                </c:pt>
                <c:pt idx="18">
                  <c:v>Running Shoes</c:v>
                </c:pt>
                <c:pt idx="19">
                  <c:v>Skin Care Kit</c:v>
                </c:pt>
                <c:pt idx="20">
                  <c:v>Storage Box Set</c:v>
                </c:pt>
                <c:pt idx="21">
                  <c:v>Tennis Racket</c:v>
                </c:pt>
                <c:pt idx="22">
                  <c:v>USB Hub</c:v>
                </c:pt>
                <c:pt idx="23">
                  <c:v>Wireless Mouse</c:v>
                </c:pt>
                <c:pt idx="24">
                  <c:v>Yoga Mat</c:v>
                </c:pt>
              </c:strCache>
            </c:strRef>
          </c:cat>
          <c:val>
            <c:numRef>
              <c:f>'Pivot Analysis'!$B$26:$B$51</c:f>
              <c:numCache>
                <c:formatCode>General</c:formatCode>
                <c:ptCount val="25"/>
                <c:pt idx="0">
                  <c:v>44241.15</c:v>
                </c:pt>
                <c:pt idx="1">
                  <c:v>25006.1</c:v>
                </c:pt>
                <c:pt idx="2">
                  <c:v>9893.4</c:v>
                </c:pt>
                <c:pt idx="3">
                  <c:v>37086.449999999997</c:v>
                </c:pt>
                <c:pt idx="4">
                  <c:v>98524.799999999988</c:v>
                </c:pt>
                <c:pt idx="5">
                  <c:v>29777.4</c:v>
                </c:pt>
                <c:pt idx="6">
                  <c:v>92088.150000000009</c:v>
                </c:pt>
                <c:pt idx="7">
                  <c:v>61769.099999999991</c:v>
                </c:pt>
                <c:pt idx="8">
                  <c:v>40779.600000000006</c:v>
                </c:pt>
                <c:pt idx="9">
                  <c:v>22066.2</c:v>
                </c:pt>
                <c:pt idx="10">
                  <c:v>15201.900000000001</c:v>
                </c:pt>
                <c:pt idx="11">
                  <c:v>22777.199999999997</c:v>
                </c:pt>
                <c:pt idx="12">
                  <c:v>87448.95</c:v>
                </c:pt>
                <c:pt idx="13">
                  <c:v>29615.300000000003</c:v>
                </c:pt>
                <c:pt idx="14">
                  <c:v>48660.25</c:v>
                </c:pt>
                <c:pt idx="15">
                  <c:v>14405.95</c:v>
                </c:pt>
                <c:pt idx="16">
                  <c:v>66330.75</c:v>
                </c:pt>
                <c:pt idx="17">
                  <c:v>27863.550000000003</c:v>
                </c:pt>
                <c:pt idx="18">
                  <c:v>93462.6</c:v>
                </c:pt>
                <c:pt idx="19">
                  <c:v>63990.9</c:v>
                </c:pt>
                <c:pt idx="20">
                  <c:v>26273.7</c:v>
                </c:pt>
                <c:pt idx="21">
                  <c:v>83056.349999999991</c:v>
                </c:pt>
                <c:pt idx="22">
                  <c:v>31959.450000000004</c:v>
                </c:pt>
                <c:pt idx="23">
                  <c:v>13622.95</c:v>
                </c:pt>
                <c:pt idx="24">
                  <c:v>15822.4</c:v>
                </c:pt>
              </c:numCache>
            </c:numRef>
          </c:val>
        </c:ser>
        <c:dLbls>
          <c:showLegendKey val="0"/>
          <c:showVal val="0"/>
          <c:showCatName val="0"/>
          <c:showSerName val="0"/>
          <c:showPercent val="0"/>
          <c:showBubbleSize val="0"/>
        </c:dLbls>
        <c:gapWidth val="150"/>
        <c:axId val="229112832"/>
        <c:axId val="232203008"/>
      </c:barChart>
      <c:catAx>
        <c:axId val="229112832"/>
        <c:scaling>
          <c:orientation val="minMax"/>
        </c:scaling>
        <c:delete val="0"/>
        <c:axPos val="l"/>
        <c:majorTickMark val="out"/>
        <c:minorTickMark val="none"/>
        <c:tickLblPos val="nextTo"/>
        <c:crossAx val="232203008"/>
        <c:crosses val="autoZero"/>
        <c:auto val="1"/>
        <c:lblAlgn val="ctr"/>
        <c:lblOffset val="100"/>
        <c:noMultiLvlLbl val="0"/>
      </c:catAx>
      <c:valAx>
        <c:axId val="232203008"/>
        <c:scaling>
          <c:orientation val="minMax"/>
        </c:scaling>
        <c:delete val="0"/>
        <c:axPos val="b"/>
        <c:majorGridlines/>
        <c:numFmt formatCode="General" sourceLinked="1"/>
        <c:majorTickMark val="out"/>
        <c:minorTickMark val="none"/>
        <c:tickLblPos val="nextTo"/>
        <c:crossAx val="229112832"/>
        <c:crosses val="autoZero"/>
        <c:crossBetween val="between"/>
      </c:valAx>
      <c:spPr>
        <a:solidFill>
          <a:srgbClr val="FFFFFF"/>
        </a:solidFill>
      </c:spPr>
    </c:plotArea>
    <c:plotVisOnly val="1"/>
    <c:dispBlanksAs val="gap"/>
    <c:showDLblsOverMax val="0"/>
  </c:chart>
  <c:spPr>
    <a:solidFill>
      <a:srgbClr val="FFFFFF"/>
    </a:solidFill>
    <a:ln w="12700">
      <a:solidFill>
        <a:srgbClr val="DCE4EC"/>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Analysis!PT_Payment_Mode</c:name>
    <c:fmtId val="2"/>
  </c:pivotSource>
  <c:chart>
    <c:title>
      <c:tx>
        <c:rich>
          <a:bodyPr/>
          <a:lstStyle/>
          <a:p>
            <a:pPr>
              <a:defRPr sz="1100" b="1"/>
            </a:pPr>
            <a:r>
              <a:rPr lang="en-IN" sz="1100" b="1"/>
              <a:t>Sales by Payment Mode</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doughnutChart>
        <c:varyColors val="1"/>
        <c:ser>
          <c:idx val="0"/>
          <c:order val="0"/>
          <c:tx>
            <c:strRef>
              <c:f>'Pivot Analysis'!$I$25</c:f>
              <c:strCache>
                <c:ptCount val="1"/>
                <c:pt idx="0">
                  <c:v>Total</c:v>
                </c:pt>
              </c:strCache>
            </c:strRef>
          </c:tx>
          <c:cat>
            <c:strRef>
              <c:f>'Pivot Analysis'!$H$26:$H$31</c:f>
              <c:strCache>
                <c:ptCount val="5"/>
                <c:pt idx="0">
                  <c:v>Cash</c:v>
                </c:pt>
                <c:pt idx="1">
                  <c:v>Credit Card</c:v>
                </c:pt>
                <c:pt idx="2">
                  <c:v>Debit Card</c:v>
                </c:pt>
                <c:pt idx="3">
                  <c:v>Net Banking</c:v>
                </c:pt>
                <c:pt idx="4">
                  <c:v>UPI</c:v>
                </c:pt>
              </c:strCache>
            </c:strRef>
          </c:cat>
          <c:val>
            <c:numRef>
              <c:f>'Pivot Analysis'!$I$26:$I$31</c:f>
              <c:numCache>
                <c:formatCode>General</c:formatCode>
                <c:ptCount val="5"/>
                <c:pt idx="0">
                  <c:v>260881.5</c:v>
                </c:pt>
                <c:pt idx="1">
                  <c:v>263813.60000000003</c:v>
                </c:pt>
                <c:pt idx="2">
                  <c:v>197311.25000000003</c:v>
                </c:pt>
                <c:pt idx="3">
                  <c:v>195505.20000000004</c:v>
                </c:pt>
                <c:pt idx="4">
                  <c:v>184213.00000000003</c:v>
                </c:pt>
              </c:numCache>
            </c:numRef>
          </c:val>
        </c:ser>
        <c:dLbls>
          <c:showLegendKey val="0"/>
          <c:showVal val="0"/>
          <c:showCatName val="0"/>
          <c:showSerName val="0"/>
          <c:showPercent val="0"/>
          <c:showBubbleSize val="0"/>
          <c:showLeaderLines val="1"/>
        </c:dLbls>
        <c:firstSliceAng val="0"/>
        <c:holeSize val="50"/>
      </c:doughnutChart>
      <c:spPr>
        <a:solidFill>
          <a:srgbClr val="FFFFFF"/>
        </a:solidFill>
      </c:spPr>
    </c:plotArea>
    <c:legend>
      <c:legendPos val="r"/>
      <c:layout/>
      <c:overlay val="0"/>
    </c:legend>
    <c:plotVisOnly val="1"/>
    <c:dispBlanksAs val="gap"/>
    <c:showDLblsOverMax val="0"/>
  </c:chart>
  <c:spPr>
    <a:solidFill>
      <a:srgbClr val="FFFFFF"/>
    </a:solidFill>
    <a:ln w="12700">
      <a:solidFill>
        <a:srgbClr val="DCE4EC"/>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Analysis!PT_Salesperson_Sales</c:name>
    <c:fmtId val="2"/>
  </c:pivotSource>
  <c:chart>
    <c:title>
      <c:tx>
        <c:rich>
          <a:bodyPr/>
          <a:lstStyle/>
          <a:p>
            <a:pPr>
              <a:defRPr sz="1100" b="1"/>
            </a:pPr>
            <a:r>
              <a:rPr lang="en-IN" sz="1100" b="1"/>
              <a:t>Sales by Salesperson</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Analysis'!$P$25</c:f>
              <c:strCache>
                <c:ptCount val="1"/>
                <c:pt idx="0">
                  <c:v>Total</c:v>
                </c:pt>
              </c:strCache>
            </c:strRef>
          </c:tx>
          <c:invertIfNegative val="0"/>
          <c:cat>
            <c:strRef>
              <c:f>'Pivot Analysis'!$O$26:$O$32</c:f>
              <c:strCache>
                <c:ptCount val="6"/>
                <c:pt idx="0">
                  <c:v>Amit Sharma</c:v>
                </c:pt>
                <c:pt idx="1">
                  <c:v>Anjali Mehta</c:v>
                </c:pt>
                <c:pt idx="2">
                  <c:v>Neha Gupta</c:v>
                </c:pt>
                <c:pt idx="3">
                  <c:v>Priya Singh</c:v>
                </c:pt>
                <c:pt idx="4">
                  <c:v>Rahul Verma</c:v>
                </c:pt>
                <c:pt idx="5">
                  <c:v>Vikas Kumar</c:v>
                </c:pt>
              </c:strCache>
            </c:strRef>
          </c:cat>
          <c:val>
            <c:numRef>
              <c:f>'Pivot Analysis'!$P$26:$P$32</c:f>
              <c:numCache>
                <c:formatCode>General</c:formatCode>
                <c:ptCount val="6"/>
                <c:pt idx="0">
                  <c:v>212153.00000000009</c:v>
                </c:pt>
                <c:pt idx="1">
                  <c:v>191920.45000000004</c:v>
                </c:pt>
                <c:pt idx="2">
                  <c:v>146199.19999999998</c:v>
                </c:pt>
                <c:pt idx="3">
                  <c:v>183414.65000000002</c:v>
                </c:pt>
                <c:pt idx="4">
                  <c:v>244375</c:v>
                </c:pt>
                <c:pt idx="5">
                  <c:v>123662.25000000001</c:v>
                </c:pt>
              </c:numCache>
            </c:numRef>
          </c:val>
        </c:ser>
        <c:dLbls>
          <c:showLegendKey val="0"/>
          <c:showVal val="0"/>
          <c:showCatName val="0"/>
          <c:showSerName val="0"/>
          <c:showPercent val="0"/>
          <c:showBubbleSize val="0"/>
        </c:dLbls>
        <c:gapWidth val="150"/>
        <c:axId val="232233600"/>
        <c:axId val="232325504"/>
      </c:barChart>
      <c:catAx>
        <c:axId val="232233600"/>
        <c:scaling>
          <c:orientation val="minMax"/>
        </c:scaling>
        <c:delete val="0"/>
        <c:axPos val="b"/>
        <c:majorTickMark val="out"/>
        <c:minorTickMark val="none"/>
        <c:tickLblPos val="nextTo"/>
        <c:crossAx val="232325504"/>
        <c:crosses val="autoZero"/>
        <c:auto val="1"/>
        <c:lblAlgn val="ctr"/>
        <c:lblOffset val="100"/>
        <c:noMultiLvlLbl val="0"/>
      </c:catAx>
      <c:valAx>
        <c:axId val="232325504"/>
        <c:scaling>
          <c:orientation val="minMax"/>
        </c:scaling>
        <c:delete val="0"/>
        <c:axPos val="l"/>
        <c:majorGridlines/>
        <c:numFmt formatCode="General" sourceLinked="1"/>
        <c:majorTickMark val="out"/>
        <c:minorTickMark val="none"/>
        <c:tickLblPos val="nextTo"/>
        <c:crossAx val="232233600"/>
        <c:crosses val="autoZero"/>
        <c:crossBetween val="between"/>
      </c:valAx>
      <c:spPr>
        <a:solidFill>
          <a:srgbClr val="FFFFFF"/>
        </a:solidFill>
      </c:spPr>
    </c:plotArea>
    <c:plotVisOnly val="1"/>
    <c:dispBlanksAs val="gap"/>
    <c:showDLblsOverMax val="0"/>
  </c:chart>
  <c:spPr>
    <a:solidFill>
      <a:srgbClr val="FFFFFF"/>
    </a:solidFill>
    <a:ln w="12700">
      <a:solidFill>
        <a:srgbClr val="DCE4EC"/>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Analysis!PT_Monthly_Sales</c:name>
    <c:fmtId val="0"/>
  </c:pivotSource>
  <c:chart>
    <c:title>
      <c:tx>
        <c:rich>
          <a:bodyPr/>
          <a:lstStyle/>
          <a:p>
            <a:pPr>
              <a:defRPr/>
            </a:pPr>
            <a:r>
              <a:rPr lang="en-IN"/>
              <a:t>Monthly Sales Trend</a:t>
            </a:r>
          </a:p>
        </c:rich>
      </c:tx>
      <c:overlay val="0"/>
    </c:title>
    <c:autoTitleDeleted val="0"/>
    <c:pivotFmts>
      <c:pivotFmt>
        <c:idx val="0"/>
      </c:pivotFmt>
    </c:pivotFmts>
    <c:plotArea>
      <c:layout/>
      <c:lineChart>
        <c:grouping val="standard"/>
        <c:varyColors val="0"/>
        <c:ser>
          <c:idx val="0"/>
          <c:order val="0"/>
          <c:tx>
            <c:strRef>
              <c:f>'Pivot Analysis'!$B$4</c:f>
              <c:strCache>
                <c:ptCount val="1"/>
                <c:pt idx="0">
                  <c:v>Total</c:v>
                </c:pt>
              </c:strCache>
            </c:strRef>
          </c:tx>
          <c:cat>
            <c:strRef>
              <c:f>'Pivot Analysis'!$A$5:$A$14</c:f>
              <c:strCache>
                <c:ptCount val="9"/>
                <c:pt idx="0">
                  <c:v>Jan 2026</c:v>
                </c:pt>
                <c:pt idx="1">
                  <c:v>Feb 2026</c:v>
                </c:pt>
                <c:pt idx="2">
                  <c:v>Mar 2026</c:v>
                </c:pt>
                <c:pt idx="3">
                  <c:v>Apr 2026</c:v>
                </c:pt>
                <c:pt idx="4">
                  <c:v>May 2026</c:v>
                </c:pt>
                <c:pt idx="5">
                  <c:v>Jun 2026</c:v>
                </c:pt>
                <c:pt idx="6">
                  <c:v>Jul 2026</c:v>
                </c:pt>
                <c:pt idx="7">
                  <c:v>Aug 2026</c:v>
                </c:pt>
                <c:pt idx="8">
                  <c:v>Sep 2026</c:v>
                </c:pt>
              </c:strCache>
            </c:strRef>
          </c:cat>
          <c:val>
            <c:numRef>
              <c:f>'Pivot Analysis'!$B$5:$B$14</c:f>
              <c:numCache>
                <c:formatCode>General</c:formatCode>
                <c:ptCount val="9"/>
                <c:pt idx="0">
                  <c:v>102349.20000000001</c:v>
                </c:pt>
                <c:pt idx="1">
                  <c:v>92650.05</c:v>
                </c:pt>
                <c:pt idx="2">
                  <c:v>112590.30000000003</c:v>
                </c:pt>
                <c:pt idx="3">
                  <c:v>122972.95000000001</c:v>
                </c:pt>
                <c:pt idx="4">
                  <c:v>125134.05000000003</c:v>
                </c:pt>
                <c:pt idx="5">
                  <c:v>136271.25</c:v>
                </c:pt>
                <c:pt idx="6">
                  <c:v>77591.55</c:v>
                </c:pt>
                <c:pt idx="7">
                  <c:v>165405.25000000003</c:v>
                </c:pt>
                <c:pt idx="8">
                  <c:v>166759.95000000001</c:v>
                </c:pt>
              </c:numCache>
            </c:numRef>
          </c:val>
          <c:smooth val="0"/>
        </c:ser>
        <c:dLbls>
          <c:showLegendKey val="0"/>
          <c:showVal val="0"/>
          <c:showCatName val="0"/>
          <c:showSerName val="0"/>
          <c:showPercent val="0"/>
          <c:showBubbleSize val="0"/>
        </c:dLbls>
        <c:marker val="1"/>
        <c:smooth val="0"/>
        <c:axId val="45457408"/>
        <c:axId val="45458944"/>
      </c:lineChart>
      <c:catAx>
        <c:axId val="45457408"/>
        <c:scaling>
          <c:orientation val="minMax"/>
        </c:scaling>
        <c:delete val="0"/>
        <c:axPos val="b"/>
        <c:majorTickMark val="out"/>
        <c:minorTickMark val="none"/>
        <c:tickLblPos val="nextTo"/>
        <c:crossAx val="45458944"/>
        <c:crosses val="autoZero"/>
        <c:auto val="1"/>
        <c:lblAlgn val="ctr"/>
        <c:lblOffset val="100"/>
        <c:noMultiLvlLbl val="0"/>
      </c:catAx>
      <c:valAx>
        <c:axId val="45458944"/>
        <c:scaling>
          <c:orientation val="minMax"/>
        </c:scaling>
        <c:delete val="0"/>
        <c:axPos val="l"/>
        <c:majorGridlines/>
        <c:numFmt formatCode="General" sourceLinked="1"/>
        <c:majorTickMark val="out"/>
        <c:minorTickMark val="none"/>
        <c:tickLblPos val="nextTo"/>
        <c:crossAx val="454574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Analysis!PT_Category_Sales</c:name>
    <c:fmtId val="0"/>
  </c:pivotSource>
  <c:chart>
    <c:title>
      <c:tx>
        <c:rich>
          <a:bodyPr/>
          <a:lstStyle/>
          <a:p>
            <a:pPr>
              <a:defRPr/>
            </a:pPr>
            <a:r>
              <a:rPr lang="en-IN"/>
              <a:t>Sales by Category</a:t>
            </a:r>
          </a:p>
        </c:rich>
      </c:tx>
      <c:overlay val="0"/>
    </c:title>
    <c:autoTitleDeleted val="0"/>
    <c:pivotFmts>
      <c:pivotFmt>
        <c:idx val="0"/>
        <c:marker>
          <c:symbol val="none"/>
        </c:marker>
      </c:pivotFmt>
    </c:pivotFmts>
    <c:plotArea>
      <c:layout/>
      <c:barChart>
        <c:barDir val="col"/>
        <c:grouping val="clustered"/>
        <c:varyColors val="0"/>
        <c:ser>
          <c:idx val="0"/>
          <c:order val="0"/>
          <c:tx>
            <c:strRef>
              <c:f>'Pivot Analysis'!$I$4</c:f>
              <c:strCache>
                <c:ptCount val="1"/>
                <c:pt idx="0">
                  <c:v>Total</c:v>
                </c:pt>
              </c:strCache>
            </c:strRef>
          </c:tx>
          <c:invertIfNegative val="0"/>
          <c:cat>
            <c:strRef>
              <c:f>'Pivot Analysis'!$H$5:$H$10</c:f>
              <c:strCache>
                <c:ptCount val="5"/>
                <c:pt idx="0">
                  <c:v>Beauty</c:v>
                </c:pt>
                <c:pt idx="1">
                  <c:v>Electronics</c:v>
                </c:pt>
                <c:pt idx="2">
                  <c:v>Fashion</c:v>
                </c:pt>
                <c:pt idx="3">
                  <c:v>Home &amp; Kitchen</c:v>
                </c:pt>
                <c:pt idx="4">
                  <c:v>Sports</c:v>
                </c:pt>
              </c:strCache>
            </c:strRef>
          </c:cat>
          <c:val>
            <c:numRef>
              <c:f>'Pivot Analysis'!$I$5:$I$10</c:f>
              <c:numCache>
                <c:formatCode>General</c:formatCode>
                <c:ptCount val="5"/>
                <c:pt idx="0">
                  <c:v>247378.45000000004</c:v>
                </c:pt>
                <c:pt idx="1">
                  <c:v>112954.65</c:v>
                </c:pt>
                <c:pt idx="2">
                  <c:v>247101.65000000005</c:v>
                </c:pt>
                <c:pt idx="3">
                  <c:v>239766.09999999998</c:v>
                </c:pt>
                <c:pt idx="4">
                  <c:v>254523.70000000004</c:v>
                </c:pt>
              </c:numCache>
            </c:numRef>
          </c:val>
        </c:ser>
        <c:dLbls>
          <c:showLegendKey val="0"/>
          <c:showVal val="0"/>
          <c:showCatName val="0"/>
          <c:showSerName val="0"/>
          <c:showPercent val="0"/>
          <c:showBubbleSize val="0"/>
        </c:dLbls>
        <c:gapWidth val="150"/>
        <c:axId val="232723200"/>
        <c:axId val="232724736"/>
      </c:barChart>
      <c:catAx>
        <c:axId val="232723200"/>
        <c:scaling>
          <c:orientation val="minMax"/>
        </c:scaling>
        <c:delete val="0"/>
        <c:axPos val="b"/>
        <c:majorTickMark val="out"/>
        <c:minorTickMark val="none"/>
        <c:tickLblPos val="nextTo"/>
        <c:crossAx val="232724736"/>
        <c:crosses val="autoZero"/>
        <c:auto val="1"/>
        <c:lblAlgn val="ctr"/>
        <c:lblOffset val="100"/>
        <c:noMultiLvlLbl val="0"/>
      </c:catAx>
      <c:valAx>
        <c:axId val="232724736"/>
        <c:scaling>
          <c:orientation val="minMax"/>
        </c:scaling>
        <c:delete val="0"/>
        <c:axPos val="l"/>
        <c:majorGridlines/>
        <c:numFmt formatCode="General" sourceLinked="1"/>
        <c:majorTickMark val="out"/>
        <c:minorTickMark val="none"/>
        <c:tickLblPos val="nextTo"/>
        <c:crossAx val="2327232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Analysis!PT_City_Sales</c:name>
    <c:fmtId val="0"/>
  </c:pivotSource>
  <c:chart>
    <c:title>
      <c:tx>
        <c:rich>
          <a:bodyPr/>
          <a:lstStyle/>
          <a:p>
            <a:pPr>
              <a:defRPr/>
            </a:pPr>
            <a:r>
              <a:rPr lang="en-IN"/>
              <a:t>Sales by City</a:t>
            </a:r>
          </a:p>
        </c:rich>
      </c:tx>
      <c:overlay val="0"/>
    </c:title>
    <c:autoTitleDeleted val="0"/>
    <c:pivotFmts>
      <c:pivotFmt>
        <c:idx val="0"/>
        <c:marker>
          <c:symbol val="none"/>
        </c:marker>
      </c:pivotFmt>
    </c:pivotFmts>
    <c:plotArea>
      <c:layout/>
      <c:barChart>
        <c:barDir val="bar"/>
        <c:grouping val="clustered"/>
        <c:varyColors val="0"/>
        <c:ser>
          <c:idx val="0"/>
          <c:order val="0"/>
          <c:tx>
            <c:strRef>
              <c:f>'Pivot Analysis'!$P$4</c:f>
              <c:strCache>
                <c:ptCount val="1"/>
                <c:pt idx="0">
                  <c:v>Total</c:v>
                </c:pt>
              </c:strCache>
            </c:strRef>
          </c:tx>
          <c:invertIfNegative val="0"/>
          <c:cat>
            <c:strRef>
              <c:f>'Pivot Analysis'!$O$5:$O$13</c:f>
              <c:strCache>
                <c:ptCount val="8"/>
                <c:pt idx="0">
                  <c:v>Ahmedabad</c:v>
                </c:pt>
                <c:pt idx="1">
                  <c:v>Bengaluru</c:v>
                </c:pt>
                <c:pt idx="2">
                  <c:v>Delhi</c:v>
                </c:pt>
                <c:pt idx="3">
                  <c:v>Hyderabad</c:v>
                </c:pt>
                <c:pt idx="4">
                  <c:v>Jaipur</c:v>
                </c:pt>
                <c:pt idx="5">
                  <c:v>Kolkata</c:v>
                </c:pt>
                <c:pt idx="6">
                  <c:v>Mumbai</c:v>
                </c:pt>
                <c:pt idx="7">
                  <c:v>Pune</c:v>
                </c:pt>
              </c:strCache>
            </c:strRef>
          </c:cat>
          <c:val>
            <c:numRef>
              <c:f>'Pivot Analysis'!$P$5:$P$13</c:f>
              <c:numCache>
                <c:formatCode>General</c:formatCode>
                <c:ptCount val="8"/>
                <c:pt idx="0">
                  <c:v>177647.85000000006</c:v>
                </c:pt>
                <c:pt idx="1">
                  <c:v>77018.399999999994</c:v>
                </c:pt>
                <c:pt idx="2">
                  <c:v>184220.44999999998</c:v>
                </c:pt>
                <c:pt idx="3">
                  <c:v>121048.35</c:v>
                </c:pt>
                <c:pt idx="4">
                  <c:v>170791.35</c:v>
                </c:pt>
                <c:pt idx="5">
                  <c:v>129115.15000000001</c:v>
                </c:pt>
                <c:pt idx="6">
                  <c:v>118217.05000000002</c:v>
                </c:pt>
                <c:pt idx="7">
                  <c:v>123665.95</c:v>
                </c:pt>
              </c:numCache>
            </c:numRef>
          </c:val>
        </c:ser>
        <c:dLbls>
          <c:showLegendKey val="0"/>
          <c:showVal val="0"/>
          <c:showCatName val="0"/>
          <c:showSerName val="0"/>
          <c:showPercent val="0"/>
          <c:showBubbleSize val="0"/>
        </c:dLbls>
        <c:gapWidth val="150"/>
        <c:axId val="232745216"/>
        <c:axId val="232747008"/>
      </c:barChart>
      <c:catAx>
        <c:axId val="232745216"/>
        <c:scaling>
          <c:orientation val="minMax"/>
        </c:scaling>
        <c:delete val="0"/>
        <c:axPos val="l"/>
        <c:majorTickMark val="out"/>
        <c:minorTickMark val="none"/>
        <c:tickLblPos val="nextTo"/>
        <c:crossAx val="232747008"/>
        <c:crosses val="autoZero"/>
        <c:auto val="1"/>
        <c:lblAlgn val="ctr"/>
        <c:lblOffset val="100"/>
        <c:noMultiLvlLbl val="0"/>
      </c:catAx>
      <c:valAx>
        <c:axId val="232747008"/>
        <c:scaling>
          <c:orientation val="minMax"/>
        </c:scaling>
        <c:delete val="0"/>
        <c:axPos val="b"/>
        <c:majorGridlines/>
        <c:numFmt formatCode="General" sourceLinked="1"/>
        <c:majorTickMark val="out"/>
        <c:minorTickMark val="none"/>
        <c:tickLblPos val="nextTo"/>
        <c:crossAx val="23274521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Analysis!PT_Product_Sales</c:name>
    <c:fmtId val="0"/>
  </c:pivotSource>
  <c:chart>
    <c:title>
      <c:tx>
        <c:rich>
          <a:bodyPr/>
          <a:lstStyle/>
          <a:p>
            <a:pPr>
              <a:defRPr/>
            </a:pPr>
            <a:r>
              <a:rPr lang="en-IN"/>
              <a:t>Top Products by Sales</a:t>
            </a:r>
          </a:p>
        </c:rich>
      </c:tx>
      <c:overlay val="0"/>
    </c:title>
    <c:autoTitleDeleted val="0"/>
    <c:pivotFmts>
      <c:pivotFmt>
        <c:idx val="0"/>
        <c:marker>
          <c:symbol val="none"/>
        </c:marker>
      </c:pivotFmt>
    </c:pivotFmts>
    <c:plotArea>
      <c:layout/>
      <c:barChart>
        <c:barDir val="bar"/>
        <c:grouping val="clustered"/>
        <c:varyColors val="0"/>
        <c:ser>
          <c:idx val="0"/>
          <c:order val="0"/>
          <c:tx>
            <c:strRef>
              <c:f>'Pivot Analysis'!$B$25</c:f>
              <c:strCache>
                <c:ptCount val="1"/>
                <c:pt idx="0">
                  <c:v>Total</c:v>
                </c:pt>
              </c:strCache>
            </c:strRef>
          </c:tx>
          <c:invertIfNegative val="0"/>
          <c:cat>
            <c:strRef>
              <c:f>'Pivot Analysis'!$A$26:$A$51</c:f>
              <c:strCache>
                <c:ptCount val="25"/>
                <c:pt idx="0">
                  <c:v>Air Fryer</c:v>
                </c:pt>
                <c:pt idx="1">
                  <c:v>Backpack</c:v>
                </c:pt>
                <c:pt idx="2">
                  <c:v>Bluetooth Speaker</c:v>
                </c:pt>
                <c:pt idx="3">
                  <c:v>Casual Shirt</c:v>
                </c:pt>
                <c:pt idx="4">
                  <c:v>Coffee Maker</c:v>
                </c:pt>
                <c:pt idx="5">
                  <c:v>Cotton T-Shirt</c:v>
                </c:pt>
                <c:pt idx="6">
                  <c:v>Cricket Bat</c:v>
                </c:pt>
                <c:pt idx="7">
                  <c:v>Denim Jeans</c:v>
                </c:pt>
                <c:pt idx="8">
                  <c:v>Dumbbell Set</c:v>
                </c:pt>
                <c:pt idx="9">
                  <c:v>Electric Kettle</c:v>
                </c:pt>
                <c:pt idx="10">
                  <c:v>Face Wash</c:v>
                </c:pt>
                <c:pt idx="11">
                  <c:v>Football</c:v>
                </c:pt>
                <c:pt idx="12">
                  <c:v>Hair Dryer</c:v>
                </c:pt>
                <c:pt idx="13">
                  <c:v>Keyboard</c:v>
                </c:pt>
                <c:pt idx="14">
                  <c:v>Mixer Grinder</c:v>
                </c:pt>
                <c:pt idx="15">
                  <c:v>Moisturizer</c:v>
                </c:pt>
                <c:pt idx="16">
                  <c:v>Perfume</c:v>
                </c:pt>
                <c:pt idx="17">
                  <c:v>Power Bank</c:v>
                </c:pt>
                <c:pt idx="18">
                  <c:v>Running Shoes</c:v>
                </c:pt>
                <c:pt idx="19">
                  <c:v>Skin Care Kit</c:v>
                </c:pt>
                <c:pt idx="20">
                  <c:v>Storage Box Set</c:v>
                </c:pt>
                <c:pt idx="21">
                  <c:v>Tennis Racket</c:v>
                </c:pt>
                <c:pt idx="22">
                  <c:v>USB Hub</c:v>
                </c:pt>
                <c:pt idx="23">
                  <c:v>Wireless Mouse</c:v>
                </c:pt>
                <c:pt idx="24">
                  <c:v>Yoga Mat</c:v>
                </c:pt>
              </c:strCache>
            </c:strRef>
          </c:cat>
          <c:val>
            <c:numRef>
              <c:f>'Pivot Analysis'!$B$26:$B$51</c:f>
              <c:numCache>
                <c:formatCode>General</c:formatCode>
                <c:ptCount val="25"/>
                <c:pt idx="0">
                  <c:v>44241.15</c:v>
                </c:pt>
                <c:pt idx="1">
                  <c:v>25006.1</c:v>
                </c:pt>
                <c:pt idx="2">
                  <c:v>9893.4</c:v>
                </c:pt>
                <c:pt idx="3">
                  <c:v>37086.449999999997</c:v>
                </c:pt>
                <c:pt idx="4">
                  <c:v>98524.799999999988</c:v>
                </c:pt>
                <c:pt idx="5">
                  <c:v>29777.4</c:v>
                </c:pt>
                <c:pt idx="6">
                  <c:v>92088.150000000009</c:v>
                </c:pt>
                <c:pt idx="7">
                  <c:v>61769.099999999991</c:v>
                </c:pt>
                <c:pt idx="8">
                  <c:v>40779.600000000006</c:v>
                </c:pt>
                <c:pt idx="9">
                  <c:v>22066.2</c:v>
                </c:pt>
                <c:pt idx="10">
                  <c:v>15201.900000000001</c:v>
                </c:pt>
                <c:pt idx="11">
                  <c:v>22777.199999999997</c:v>
                </c:pt>
                <c:pt idx="12">
                  <c:v>87448.95</c:v>
                </c:pt>
                <c:pt idx="13">
                  <c:v>29615.300000000003</c:v>
                </c:pt>
                <c:pt idx="14">
                  <c:v>48660.25</c:v>
                </c:pt>
                <c:pt idx="15">
                  <c:v>14405.95</c:v>
                </c:pt>
                <c:pt idx="16">
                  <c:v>66330.75</c:v>
                </c:pt>
                <c:pt idx="17">
                  <c:v>27863.550000000003</c:v>
                </c:pt>
                <c:pt idx="18">
                  <c:v>93462.6</c:v>
                </c:pt>
                <c:pt idx="19">
                  <c:v>63990.9</c:v>
                </c:pt>
                <c:pt idx="20">
                  <c:v>26273.7</c:v>
                </c:pt>
                <c:pt idx="21">
                  <c:v>83056.349999999991</c:v>
                </c:pt>
                <c:pt idx="22">
                  <c:v>31959.450000000004</c:v>
                </c:pt>
                <c:pt idx="23">
                  <c:v>13622.95</c:v>
                </c:pt>
                <c:pt idx="24">
                  <c:v>15822.4</c:v>
                </c:pt>
              </c:numCache>
            </c:numRef>
          </c:val>
        </c:ser>
        <c:dLbls>
          <c:showLegendKey val="0"/>
          <c:showVal val="0"/>
          <c:showCatName val="0"/>
          <c:showSerName val="0"/>
          <c:showPercent val="0"/>
          <c:showBubbleSize val="0"/>
        </c:dLbls>
        <c:gapWidth val="150"/>
        <c:axId val="232758656"/>
        <c:axId val="232768640"/>
      </c:barChart>
      <c:catAx>
        <c:axId val="232758656"/>
        <c:scaling>
          <c:orientation val="minMax"/>
        </c:scaling>
        <c:delete val="0"/>
        <c:axPos val="l"/>
        <c:majorTickMark val="out"/>
        <c:minorTickMark val="none"/>
        <c:tickLblPos val="nextTo"/>
        <c:crossAx val="232768640"/>
        <c:crosses val="autoZero"/>
        <c:auto val="1"/>
        <c:lblAlgn val="ctr"/>
        <c:lblOffset val="100"/>
        <c:noMultiLvlLbl val="0"/>
      </c:catAx>
      <c:valAx>
        <c:axId val="232768640"/>
        <c:scaling>
          <c:orientation val="minMax"/>
        </c:scaling>
        <c:delete val="0"/>
        <c:axPos val="b"/>
        <c:majorGridlines/>
        <c:numFmt formatCode="General" sourceLinked="1"/>
        <c:majorTickMark val="out"/>
        <c:minorTickMark val="none"/>
        <c:tickLblPos val="nextTo"/>
        <c:crossAx val="2327586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Analysis!PT_Payment_Mode</c:name>
    <c:fmtId val="0"/>
  </c:pivotSource>
  <c:chart>
    <c:title>
      <c:tx>
        <c:rich>
          <a:bodyPr/>
          <a:lstStyle/>
          <a:p>
            <a:pPr>
              <a:defRPr/>
            </a:pPr>
            <a:r>
              <a:rPr lang="en-IN"/>
              <a:t>Sales by Payment Mode</a:t>
            </a:r>
          </a:p>
        </c:rich>
      </c:tx>
      <c:overlay val="0"/>
    </c:title>
    <c:autoTitleDeleted val="0"/>
    <c:pivotFmts>
      <c:pivotFmt>
        <c:idx val="0"/>
        <c:marker>
          <c:symbol val="none"/>
        </c:marker>
      </c:pivotFmt>
    </c:pivotFmts>
    <c:plotArea>
      <c:layout/>
      <c:doughnutChart>
        <c:varyColors val="1"/>
        <c:ser>
          <c:idx val="0"/>
          <c:order val="0"/>
          <c:tx>
            <c:strRef>
              <c:f>'Pivot Analysis'!$I$25</c:f>
              <c:strCache>
                <c:ptCount val="1"/>
                <c:pt idx="0">
                  <c:v>Total</c:v>
                </c:pt>
              </c:strCache>
            </c:strRef>
          </c:tx>
          <c:cat>
            <c:strRef>
              <c:f>'Pivot Analysis'!$H$26:$H$31</c:f>
              <c:strCache>
                <c:ptCount val="5"/>
                <c:pt idx="0">
                  <c:v>Cash</c:v>
                </c:pt>
                <c:pt idx="1">
                  <c:v>Credit Card</c:v>
                </c:pt>
                <c:pt idx="2">
                  <c:v>Debit Card</c:v>
                </c:pt>
                <c:pt idx="3">
                  <c:v>Net Banking</c:v>
                </c:pt>
                <c:pt idx="4">
                  <c:v>UPI</c:v>
                </c:pt>
              </c:strCache>
            </c:strRef>
          </c:cat>
          <c:val>
            <c:numRef>
              <c:f>'Pivot Analysis'!$I$26:$I$31</c:f>
              <c:numCache>
                <c:formatCode>General</c:formatCode>
                <c:ptCount val="5"/>
                <c:pt idx="0">
                  <c:v>260881.5</c:v>
                </c:pt>
                <c:pt idx="1">
                  <c:v>263813.60000000003</c:v>
                </c:pt>
                <c:pt idx="2">
                  <c:v>197311.25000000003</c:v>
                </c:pt>
                <c:pt idx="3">
                  <c:v>195505.20000000004</c:v>
                </c:pt>
                <c:pt idx="4">
                  <c:v>184213.00000000003</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Customer Insights Analysis.xlsx]Pivot Analysis!PT_Salesperson_Sales</c:name>
    <c:fmtId val="0"/>
  </c:pivotSource>
  <c:chart>
    <c:title>
      <c:tx>
        <c:rich>
          <a:bodyPr/>
          <a:lstStyle/>
          <a:p>
            <a:pPr>
              <a:defRPr/>
            </a:pPr>
            <a:r>
              <a:rPr lang="en-IN"/>
              <a:t>Sales by Salesperson</a:t>
            </a:r>
          </a:p>
        </c:rich>
      </c:tx>
      <c:overlay val="0"/>
    </c:title>
    <c:autoTitleDeleted val="0"/>
    <c:pivotFmts>
      <c:pivotFmt>
        <c:idx val="0"/>
        <c:marker>
          <c:symbol val="none"/>
        </c:marker>
      </c:pivotFmt>
    </c:pivotFmts>
    <c:plotArea>
      <c:layout/>
      <c:barChart>
        <c:barDir val="col"/>
        <c:grouping val="clustered"/>
        <c:varyColors val="0"/>
        <c:ser>
          <c:idx val="0"/>
          <c:order val="0"/>
          <c:tx>
            <c:strRef>
              <c:f>'Pivot Analysis'!$P$25</c:f>
              <c:strCache>
                <c:ptCount val="1"/>
                <c:pt idx="0">
                  <c:v>Total</c:v>
                </c:pt>
              </c:strCache>
            </c:strRef>
          </c:tx>
          <c:invertIfNegative val="0"/>
          <c:cat>
            <c:strRef>
              <c:f>'Pivot Analysis'!$O$26:$O$32</c:f>
              <c:strCache>
                <c:ptCount val="6"/>
                <c:pt idx="0">
                  <c:v>Amit Sharma</c:v>
                </c:pt>
                <c:pt idx="1">
                  <c:v>Anjali Mehta</c:v>
                </c:pt>
                <c:pt idx="2">
                  <c:v>Neha Gupta</c:v>
                </c:pt>
                <c:pt idx="3">
                  <c:v>Priya Singh</c:v>
                </c:pt>
                <c:pt idx="4">
                  <c:v>Rahul Verma</c:v>
                </c:pt>
                <c:pt idx="5">
                  <c:v>Vikas Kumar</c:v>
                </c:pt>
              </c:strCache>
            </c:strRef>
          </c:cat>
          <c:val>
            <c:numRef>
              <c:f>'Pivot Analysis'!$P$26:$P$32</c:f>
              <c:numCache>
                <c:formatCode>General</c:formatCode>
                <c:ptCount val="6"/>
                <c:pt idx="0">
                  <c:v>212153.00000000009</c:v>
                </c:pt>
                <c:pt idx="1">
                  <c:v>191920.45000000004</c:v>
                </c:pt>
                <c:pt idx="2">
                  <c:v>146199.19999999998</c:v>
                </c:pt>
                <c:pt idx="3">
                  <c:v>183414.65000000002</c:v>
                </c:pt>
                <c:pt idx="4">
                  <c:v>244375</c:v>
                </c:pt>
                <c:pt idx="5">
                  <c:v>123662.25000000001</c:v>
                </c:pt>
              </c:numCache>
            </c:numRef>
          </c:val>
        </c:ser>
        <c:dLbls>
          <c:showLegendKey val="0"/>
          <c:showVal val="0"/>
          <c:showCatName val="0"/>
          <c:showSerName val="0"/>
          <c:showPercent val="0"/>
          <c:showBubbleSize val="0"/>
        </c:dLbls>
        <c:gapWidth val="150"/>
        <c:axId val="245394432"/>
        <c:axId val="245404416"/>
      </c:barChart>
      <c:catAx>
        <c:axId val="245394432"/>
        <c:scaling>
          <c:orientation val="minMax"/>
        </c:scaling>
        <c:delete val="0"/>
        <c:axPos val="b"/>
        <c:majorTickMark val="out"/>
        <c:minorTickMark val="none"/>
        <c:tickLblPos val="nextTo"/>
        <c:crossAx val="245404416"/>
        <c:crosses val="autoZero"/>
        <c:auto val="1"/>
        <c:lblAlgn val="ctr"/>
        <c:lblOffset val="100"/>
        <c:noMultiLvlLbl val="0"/>
      </c:catAx>
      <c:valAx>
        <c:axId val="245404416"/>
        <c:scaling>
          <c:orientation val="minMax"/>
        </c:scaling>
        <c:delete val="0"/>
        <c:axPos val="l"/>
        <c:majorGridlines/>
        <c:numFmt formatCode="General" sourceLinked="1"/>
        <c:majorTickMark val="out"/>
        <c:minorTickMark val="none"/>
        <c:tickLblPos val="nextTo"/>
        <c:crossAx val="2453944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98488</xdr:rowOff>
    </xdr:from>
    <xdr:to>
      <xdr:col>9</xdr:col>
      <xdr:colOff>465666</xdr:colOff>
      <xdr:row>20</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527672</xdr:colOff>
      <xdr:row>7</xdr:row>
      <xdr:rowOff>106954</xdr:rowOff>
    </xdr:from>
    <xdr:to>
      <xdr:col>19</xdr:col>
      <xdr:colOff>42334</xdr:colOff>
      <xdr:row>19</xdr:row>
      <xdr:rowOff>135467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25399</xdr:colOff>
      <xdr:row>20</xdr:row>
      <xdr:rowOff>55033</xdr:rowOff>
    </xdr:from>
    <xdr:to>
      <xdr:col>9</xdr:col>
      <xdr:colOff>448732</xdr:colOff>
      <xdr:row>33</xdr:row>
      <xdr:rowOff>93133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544606</xdr:colOff>
      <xdr:row>20</xdr:row>
      <xdr:rowOff>38100</xdr:rowOff>
    </xdr:from>
    <xdr:to>
      <xdr:col>19</xdr:col>
      <xdr:colOff>33867</xdr:colOff>
      <xdr:row>33</xdr:row>
      <xdr:rowOff>93133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25399</xdr:colOff>
      <xdr:row>33</xdr:row>
      <xdr:rowOff>138579</xdr:rowOff>
    </xdr:from>
    <xdr:to>
      <xdr:col>9</xdr:col>
      <xdr:colOff>448732</xdr:colOff>
      <xdr:row>48</xdr:row>
      <xdr:rowOff>101600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536139</xdr:colOff>
      <xdr:row>33</xdr:row>
      <xdr:rowOff>155512</xdr:rowOff>
    </xdr:from>
    <xdr:to>
      <xdr:col>19</xdr:col>
      <xdr:colOff>33867</xdr:colOff>
      <xdr:row>48</xdr:row>
      <xdr:rowOff>59266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207433</xdr:colOff>
      <xdr:row>4</xdr:row>
      <xdr:rowOff>38100</xdr:rowOff>
    </xdr:from>
    <xdr:to>
      <xdr:col>25</xdr:col>
      <xdr:colOff>143934</xdr:colOff>
      <xdr:row>15</xdr:row>
      <xdr:rowOff>13758</xdr:rowOff>
    </xdr:to>
    <mc:AlternateContent xmlns:mc="http://schemas.openxmlformats.org/markup-compatibility/2006" xmlns:a14="http://schemas.microsoft.com/office/drawing/2010/main">
      <mc:Choice Requires="a14">
        <xdr:graphicFrame macro="">
          <xdr:nvGraphicFramePr>
            <xdr:cNvPr id="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940366" y="1282700"/>
              <a:ext cx="176530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107950</xdr:colOff>
      <xdr:row>4</xdr:row>
      <xdr:rowOff>14817</xdr:rowOff>
    </xdr:from>
    <xdr:to>
      <xdr:col>22</xdr:col>
      <xdr:colOff>107950</xdr:colOff>
      <xdr:row>14</xdr:row>
      <xdr:rowOff>151342</xdr:rowOff>
    </xdr:to>
    <mc:AlternateContent xmlns:mc="http://schemas.openxmlformats.org/markup-compatibility/2006" xmlns:a14="http://schemas.microsoft.com/office/drawing/2010/main">
      <mc:Choice Requires="a14">
        <xdr:graphicFrame macro="">
          <xdr:nvGraphicFramePr>
            <xdr:cNvPr id="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12083" y="125941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124884</xdr:colOff>
      <xdr:row>32</xdr:row>
      <xdr:rowOff>74083</xdr:rowOff>
    </xdr:from>
    <xdr:to>
      <xdr:col>22</xdr:col>
      <xdr:colOff>124884</xdr:colOff>
      <xdr:row>48</xdr:row>
      <xdr:rowOff>24341</xdr:rowOff>
    </xdr:to>
    <mc:AlternateContent xmlns:mc="http://schemas.openxmlformats.org/markup-compatibility/2006" xmlns:a14="http://schemas.microsoft.com/office/drawing/2010/main">
      <mc:Choice Requires="a14">
        <xdr:graphicFrame macro="">
          <xdr:nvGraphicFramePr>
            <xdr:cNvPr id="1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029017" y="660188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177801</xdr:colOff>
      <xdr:row>16</xdr:row>
      <xdr:rowOff>0</xdr:rowOff>
    </xdr:from>
    <xdr:to>
      <xdr:col>25</xdr:col>
      <xdr:colOff>177801</xdr:colOff>
      <xdr:row>31</xdr:row>
      <xdr:rowOff>111125</xdr:rowOff>
    </xdr:to>
    <mc:AlternateContent xmlns:mc="http://schemas.openxmlformats.org/markup-compatibility/2006" xmlns:a14="http://schemas.microsoft.com/office/drawing/2010/main">
      <mc:Choice Requires="a14">
        <xdr:graphicFrame macro="">
          <xdr:nvGraphicFramePr>
            <xdr:cNvPr id="11"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3910734" y="395393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120650</xdr:colOff>
      <xdr:row>15</xdr:row>
      <xdr:rowOff>137583</xdr:rowOff>
    </xdr:from>
    <xdr:to>
      <xdr:col>22</xdr:col>
      <xdr:colOff>120650</xdr:colOff>
      <xdr:row>31</xdr:row>
      <xdr:rowOff>87842</xdr:rowOff>
    </xdr:to>
    <mc:AlternateContent xmlns:mc="http://schemas.openxmlformats.org/markup-compatibility/2006" xmlns:a14="http://schemas.microsoft.com/office/drawing/2010/main">
      <mc:Choice Requires="a14">
        <xdr:graphicFrame macro="">
          <xdr:nvGraphicFramePr>
            <xdr:cNvPr id="12"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024783" y="3930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222250</xdr:colOff>
      <xdr:row>32</xdr:row>
      <xdr:rowOff>88900</xdr:rowOff>
    </xdr:from>
    <xdr:to>
      <xdr:col>25</xdr:col>
      <xdr:colOff>222250</xdr:colOff>
      <xdr:row>48</xdr:row>
      <xdr:rowOff>39158</xdr:rowOff>
    </xdr:to>
    <mc:AlternateContent xmlns:mc="http://schemas.openxmlformats.org/markup-compatibility/2006" xmlns:a14="http://schemas.microsoft.com/office/drawing/2010/main">
      <mc:Choice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955183" y="6616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59</xdr:row>
      <xdr:rowOff>0</xdr:rowOff>
    </xdr:from>
    <xdr:to>
      <xdr:col>5</xdr:col>
      <xdr:colOff>476250</xdr:colOff>
      <xdr:row>75</xdr:row>
      <xdr:rowOff>63500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59</xdr:row>
      <xdr:rowOff>0</xdr:rowOff>
    </xdr:from>
    <xdr:to>
      <xdr:col>12</xdr:col>
      <xdr:colOff>463550</xdr:colOff>
      <xdr:row>75</xdr:row>
      <xdr:rowOff>63500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59</xdr:row>
      <xdr:rowOff>0</xdr:rowOff>
    </xdr:from>
    <xdr:to>
      <xdr:col>20</xdr:col>
      <xdr:colOff>82550</xdr:colOff>
      <xdr:row>75</xdr:row>
      <xdr:rowOff>63500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77</xdr:row>
      <xdr:rowOff>0</xdr:rowOff>
    </xdr:from>
    <xdr:to>
      <xdr:col>5</xdr:col>
      <xdr:colOff>476250</xdr:colOff>
      <xdr:row>93</xdr:row>
      <xdr:rowOff>63500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77</xdr:row>
      <xdr:rowOff>0</xdr:rowOff>
    </xdr:from>
    <xdr:to>
      <xdr:col>12</xdr:col>
      <xdr:colOff>463550</xdr:colOff>
      <xdr:row>93</xdr:row>
      <xdr:rowOff>63500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77</xdr:row>
      <xdr:rowOff>0</xdr:rowOff>
    </xdr:from>
    <xdr:to>
      <xdr:col>20</xdr:col>
      <xdr:colOff>82550</xdr:colOff>
      <xdr:row>93</xdr:row>
      <xdr:rowOff>63500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04.462506481483" createdVersion="3" refreshedVersion="4" minRefreshableVersion="3" recordCount="250">
  <cacheSource type="worksheet">
    <worksheetSource name="Retail_Sales"/>
  </cacheSource>
  <cacheFields count="14">
    <cacheField name="Order_ID" numFmtId="0">
      <sharedItems/>
    </cacheField>
    <cacheField name="Order_Date" numFmtId="165">
      <sharedItems containsSemiMixedTypes="0" containsNonDate="0" containsDate="1" containsString="0" minDate="2026-01-03T00:00:00" maxDate="2026-10-01T00:00:00"/>
    </cacheField>
    <cacheField name="Customer_Name" numFmtId="0">
      <sharedItems/>
    </cacheField>
    <cacheField name="City" numFmtId="0">
      <sharedItems count="8">
        <s v="Delhi"/>
        <s v="Jaipur"/>
        <s v="Kolkata"/>
        <s v="Bengaluru"/>
        <s v="Hyderabad"/>
        <s v="Pune"/>
        <s v="Ahmedabad"/>
        <s v="Mumbai"/>
      </sharedItems>
    </cacheField>
    <cacheField name="Category" numFmtId="0">
      <sharedItems count="5">
        <s v="Fashion"/>
        <s v="Beauty"/>
        <s v="Home &amp; Kitchen"/>
        <s v="Electronics"/>
        <s v="Sports"/>
      </sharedItems>
    </cacheField>
    <cacheField name="Product" numFmtId="0">
      <sharedItems count="25">
        <s v="Running Shoes"/>
        <s v="Face Wash"/>
        <s v="Storage Box Set"/>
        <s v="Perfume"/>
        <s v="Keyboard"/>
        <s v="Power Bank"/>
        <s v="Wireless Mouse"/>
        <s v="USB Hub"/>
        <s v="Cotton T-Shirt"/>
        <s v="Casual Shirt"/>
        <s v="Moisturizer"/>
        <s v="Dumbbell Set"/>
        <s v="Skin Care Kit"/>
        <s v="Football"/>
        <s v="Backpack"/>
        <s v="Tennis Racket"/>
        <s v="Denim Jeans"/>
        <s v="Cricket Bat"/>
        <s v="Yoga Mat"/>
        <s v="Mixer Grinder"/>
        <s v="Electric Kettle"/>
        <s v="Coffee Maker"/>
        <s v="Hair Dryer"/>
        <s v="Air Fryer"/>
        <s v="Bluetooth Speaker"/>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containsInteger="1" minValue="399" maxValue="4999"/>
    </cacheField>
    <cacheField name="Discount_Percentage" numFmtId="0">
      <sharedItems containsSemiMixedTypes="0" containsString="0" containsNumber="1" containsInteger="1" minValue="0" maxValue="20"/>
    </cacheField>
    <cacheField name="Payment_Mode" numFmtId="0">
      <sharedItems count="5">
        <s v="UPI"/>
        <s v="Credit Card"/>
        <s v="Net Banking"/>
        <s v="Debit Card"/>
        <s v="Cash"/>
      </sharedItems>
    </cacheField>
    <cacheField name="Salesperson" numFmtId="0">
      <sharedItems count="6">
        <s v="Anjali Mehta"/>
        <s v="Vikas Kumar"/>
        <s v="Rahul Verma"/>
        <s v="Amit Sharma"/>
        <s v="Priya Singh"/>
        <s v="Neha Gupta"/>
      </sharedItems>
    </cacheField>
    <cacheField name="Area" numFmtId="0">
      <sharedItems/>
    </cacheField>
    <cacheField name="Sales_Amount" numFmtId="4">
      <sharedItems containsSemiMixedTypes="0" containsString="0" containsNumber="1" minValue="359.1" maxValue="19996"/>
    </cacheField>
    <cacheField name="Month" numFmtId="166">
      <sharedItems containsSemiMixedTypes="0" containsNonDate="0" containsDate="1" containsString="0" minDate="2026-01-01T00:00:00" maxDate="2026-09-02T00:00:00" count="9">
        <d v="2026-04-01T00:00:00"/>
        <d v="2026-01-01T00:00:00"/>
        <d v="2026-08-01T00:00:00"/>
        <d v="2026-05-01T00:00:00"/>
        <d v="2026-06-01T00:00:00"/>
        <d v="2026-02-01T00:00:00"/>
        <d v="2026-03-01T00:00:00"/>
        <d v="2026-07-01T00:00:00"/>
        <d v="2026-09-01T00:0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ORD1001"/>
    <d v="2026-04-25T00:00:00"/>
    <s v="Customer 001"/>
    <x v="0"/>
    <x v="0"/>
    <x v="0"/>
    <n v="2"/>
    <n v="2499"/>
    <n v="20"/>
    <x v="0"/>
    <x v="0"/>
    <s v="Rohini"/>
    <n v="3998.4"/>
    <x v="0"/>
  </r>
  <r>
    <s v="ORD1002"/>
    <d v="2026-01-16T00:00:00"/>
    <s v="Customer 002"/>
    <x v="0"/>
    <x v="1"/>
    <x v="1"/>
    <n v="1"/>
    <n v="399"/>
    <n v="5"/>
    <x v="1"/>
    <x v="1"/>
    <s v="Saket"/>
    <n v="379.04999999999995"/>
    <x v="1"/>
  </r>
  <r>
    <s v="ORD1003"/>
    <d v="2026-08-03T00:00:00"/>
    <s v="Customer 003"/>
    <x v="1"/>
    <x v="2"/>
    <x v="2"/>
    <n v="2"/>
    <n v="999"/>
    <n v="10"/>
    <x v="2"/>
    <x v="2"/>
    <s v="Mansarovar"/>
    <n v="1798.2"/>
    <x v="2"/>
  </r>
  <r>
    <s v="ORD1004"/>
    <d v="2026-05-23T00:00:00"/>
    <s v="Customer 004"/>
    <x v="1"/>
    <x v="1"/>
    <x v="3"/>
    <n v="2"/>
    <n v="1499"/>
    <n v="5"/>
    <x v="3"/>
    <x v="3"/>
    <s v="Malviya Nagar"/>
    <n v="2848.1"/>
    <x v="3"/>
  </r>
  <r>
    <s v="ORD1005"/>
    <d v="2026-06-26T00:00:00"/>
    <s v="Customer 005"/>
    <x v="0"/>
    <x v="3"/>
    <x v="4"/>
    <n v="5"/>
    <n v="1199"/>
    <n v="10"/>
    <x v="0"/>
    <x v="0"/>
    <s v="Dwarka"/>
    <n v="5395.5"/>
    <x v="4"/>
  </r>
  <r>
    <s v="ORD1006"/>
    <d v="2026-02-10T00:00:00"/>
    <s v="Customer 006"/>
    <x v="2"/>
    <x v="3"/>
    <x v="5"/>
    <n v="5"/>
    <n v="1299"/>
    <n v="10"/>
    <x v="2"/>
    <x v="2"/>
    <s v="Behala"/>
    <n v="5845.5"/>
    <x v="5"/>
  </r>
  <r>
    <s v="ORD1007"/>
    <d v="2026-04-27T00:00:00"/>
    <s v="Customer 007"/>
    <x v="3"/>
    <x v="3"/>
    <x v="6"/>
    <n v="3"/>
    <n v="799"/>
    <n v="0"/>
    <x v="1"/>
    <x v="3"/>
    <s v="HSR Layout"/>
    <n v="2397"/>
    <x v="0"/>
  </r>
  <r>
    <s v="ORD1008"/>
    <d v="2026-03-25T00:00:00"/>
    <s v="Customer 008"/>
    <x v="4"/>
    <x v="1"/>
    <x v="3"/>
    <n v="3"/>
    <n v="1499"/>
    <n v="10"/>
    <x v="1"/>
    <x v="0"/>
    <s v="Kukatpally"/>
    <n v="4047.3"/>
    <x v="6"/>
  </r>
  <r>
    <s v="ORD1009"/>
    <d v="2026-03-29T00:00:00"/>
    <s v="Customer 009"/>
    <x v="5"/>
    <x v="3"/>
    <x v="7"/>
    <n v="5"/>
    <n v="899"/>
    <n v="20"/>
    <x v="1"/>
    <x v="4"/>
    <s v="Viman Nagar"/>
    <n v="3596"/>
    <x v="6"/>
  </r>
  <r>
    <s v="ORD1010"/>
    <d v="2026-04-23T00:00:00"/>
    <s v="Customer 010"/>
    <x v="2"/>
    <x v="0"/>
    <x v="8"/>
    <n v="3"/>
    <n v="699"/>
    <n v="0"/>
    <x v="1"/>
    <x v="3"/>
    <s v="New Town"/>
    <n v="2097"/>
    <x v="0"/>
  </r>
  <r>
    <s v="ORD1011"/>
    <d v="2026-04-19T00:00:00"/>
    <s v="Customer 011"/>
    <x v="6"/>
    <x v="0"/>
    <x v="9"/>
    <n v="5"/>
    <n v="1299"/>
    <n v="20"/>
    <x v="3"/>
    <x v="4"/>
    <s v="Satellite"/>
    <n v="5196"/>
    <x v="0"/>
  </r>
  <r>
    <s v="ORD1012"/>
    <d v="2026-05-16T00:00:00"/>
    <s v="Customer 012"/>
    <x v="2"/>
    <x v="1"/>
    <x v="10"/>
    <n v="2"/>
    <n v="599"/>
    <n v="5"/>
    <x v="2"/>
    <x v="1"/>
    <s v="New Town"/>
    <n v="1138.0999999999999"/>
    <x v="3"/>
  </r>
  <r>
    <s v="ORD1013"/>
    <d v="2026-07-24T00:00:00"/>
    <s v="Customer 013"/>
    <x v="5"/>
    <x v="4"/>
    <x v="11"/>
    <n v="3"/>
    <n v="1999"/>
    <n v="5"/>
    <x v="1"/>
    <x v="1"/>
    <s v="Viman Nagar"/>
    <n v="5697.15"/>
    <x v="7"/>
  </r>
  <r>
    <s v="ORD1014"/>
    <d v="2026-03-20T00:00:00"/>
    <s v="Customer 014"/>
    <x v="2"/>
    <x v="3"/>
    <x v="6"/>
    <n v="2"/>
    <n v="799"/>
    <n v="20"/>
    <x v="4"/>
    <x v="1"/>
    <s v="Salt Lake"/>
    <n v="1278.4000000000001"/>
    <x v="6"/>
  </r>
  <r>
    <s v="ORD1015"/>
    <d v="2026-08-28T00:00:00"/>
    <s v="Customer 015"/>
    <x v="0"/>
    <x v="1"/>
    <x v="12"/>
    <n v="5"/>
    <n v="2199"/>
    <n v="10"/>
    <x v="2"/>
    <x v="3"/>
    <s v="Dwarka"/>
    <n v="9895.5"/>
    <x v="2"/>
  </r>
  <r>
    <s v="ORD1016"/>
    <d v="2026-06-24T00:00:00"/>
    <s v="Customer 016"/>
    <x v="0"/>
    <x v="4"/>
    <x v="13"/>
    <n v="1"/>
    <n v="999"/>
    <n v="10"/>
    <x v="4"/>
    <x v="4"/>
    <s v="Saket"/>
    <n v="899.1"/>
    <x v="4"/>
  </r>
  <r>
    <s v="ORD1017"/>
    <d v="2026-04-02T00:00:00"/>
    <s v="Customer 017"/>
    <x v="2"/>
    <x v="0"/>
    <x v="8"/>
    <n v="5"/>
    <n v="699"/>
    <n v="0"/>
    <x v="3"/>
    <x v="0"/>
    <s v="Salt Lake"/>
    <n v="3495"/>
    <x v="0"/>
  </r>
  <r>
    <s v="ORD1018"/>
    <d v="2026-09-29T00:00:00"/>
    <s v="Customer 018"/>
    <x v="3"/>
    <x v="0"/>
    <x v="0"/>
    <n v="1"/>
    <n v="2499"/>
    <n v="15"/>
    <x v="3"/>
    <x v="5"/>
    <s v="Whitefield"/>
    <n v="2124.15"/>
    <x v="8"/>
  </r>
  <r>
    <s v="ORD1019"/>
    <d v="2026-05-03T00:00:00"/>
    <s v="Customer 019"/>
    <x v="1"/>
    <x v="0"/>
    <x v="14"/>
    <n v="1"/>
    <n v="1799"/>
    <n v="5"/>
    <x v="2"/>
    <x v="3"/>
    <s v="Malviya Nagar"/>
    <n v="1709.05"/>
    <x v="3"/>
  </r>
  <r>
    <s v="ORD1020"/>
    <d v="2026-09-30T00:00:00"/>
    <s v="Customer 020"/>
    <x v="0"/>
    <x v="1"/>
    <x v="1"/>
    <n v="2"/>
    <n v="399"/>
    <n v="5"/>
    <x v="4"/>
    <x v="1"/>
    <s v="Saket"/>
    <n v="758.09999999999991"/>
    <x v="8"/>
  </r>
  <r>
    <s v="ORD1021"/>
    <d v="2026-08-05T00:00:00"/>
    <s v="Customer 021"/>
    <x v="7"/>
    <x v="4"/>
    <x v="15"/>
    <n v="2"/>
    <n v="2899"/>
    <n v="15"/>
    <x v="1"/>
    <x v="0"/>
    <s v="Borivali"/>
    <n v="4928.3"/>
    <x v="2"/>
  </r>
  <r>
    <s v="ORD1022"/>
    <d v="2026-09-22T00:00:00"/>
    <s v="Customer 022"/>
    <x v="5"/>
    <x v="0"/>
    <x v="16"/>
    <n v="4"/>
    <n v="1999"/>
    <n v="0"/>
    <x v="1"/>
    <x v="4"/>
    <s v="Kothrud"/>
    <n v="7996"/>
    <x v="8"/>
  </r>
  <r>
    <s v="ORD1023"/>
    <d v="2026-04-28T00:00:00"/>
    <s v="Customer 023"/>
    <x v="0"/>
    <x v="3"/>
    <x v="7"/>
    <n v="5"/>
    <n v="899"/>
    <n v="5"/>
    <x v="0"/>
    <x v="3"/>
    <s v="Dwarka"/>
    <n v="4270.25"/>
    <x v="0"/>
  </r>
  <r>
    <s v="ORD1024"/>
    <d v="2026-06-19T00:00:00"/>
    <s v="Customer 024"/>
    <x v="1"/>
    <x v="3"/>
    <x v="6"/>
    <n v="1"/>
    <n v="799"/>
    <n v="15"/>
    <x v="1"/>
    <x v="2"/>
    <s v="Malviya Nagar"/>
    <n v="679.15"/>
    <x v="4"/>
  </r>
  <r>
    <s v="ORD1025"/>
    <d v="2026-08-31T00:00:00"/>
    <s v="Customer 025"/>
    <x v="2"/>
    <x v="4"/>
    <x v="17"/>
    <n v="2"/>
    <n v="2499"/>
    <n v="10"/>
    <x v="4"/>
    <x v="4"/>
    <s v="Salt Lake"/>
    <n v="4498.2"/>
    <x v="2"/>
  </r>
  <r>
    <s v="ORD1026"/>
    <d v="2026-08-05T00:00:00"/>
    <s v="Customer 026"/>
    <x v="0"/>
    <x v="1"/>
    <x v="3"/>
    <n v="4"/>
    <n v="1499"/>
    <n v="10"/>
    <x v="0"/>
    <x v="0"/>
    <s v="Rohini"/>
    <n v="5396.4000000000005"/>
    <x v="2"/>
  </r>
  <r>
    <s v="ORD1027"/>
    <d v="2026-02-25T00:00:00"/>
    <s v="Customer 027"/>
    <x v="0"/>
    <x v="1"/>
    <x v="3"/>
    <n v="2"/>
    <n v="1499"/>
    <n v="5"/>
    <x v="1"/>
    <x v="1"/>
    <s v="Rohini"/>
    <n v="2848.1"/>
    <x v="5"/>
  </r>
  <r>
    <s v="ORD1028"/>
    <d v="2026-05-23T00:00:00"/>
    <s v="Customer 028"/>
    <x v="2"/>
    <x v="1"/>
    <x v="10"/>
    <n v="4"/>
    <n v="599"/>
    <n v="5"/>
    <x v="0"/>
    <x v="5"/>
    <s v="Salt Lake"/>
    <n v="2276.1999999999998"/>
    <x v="3"/>
  </r>
  <r>
    <s v="ORD1029"/>
    <d v="2026-02-17T00:00:00"/>
    <s v="Customer 029"/>
    <x v="0"/>
    <x v="4"/>
    <x v="18"/>
    <n v="2"/>
    <n v="899"/>
    <n v="5"/>
    <x v="4"/>
    <x v="5"/>
    <s v="Rohini"/>
    <n v="1708.1"/>
    <x v="5"/>
  </r>
  <r>
    <s v="ORD1030"/>
    <d v="2026-03-26T00:00:00"/>
    <s v="Customer 030"/>
    <x v="2"/>
    <x v="1"/>
    <x v="1"/>
    <n v="4"/>
    <n v="399"/>
    <n v="0"/>
    <x v="4"/>
    <x v="2"/>
    <s v="Salt Lake"/>
    <n v="1596"/>
    <x v="6"/>
  </r>
  <r>
    <s v="ORD1031"/>
    <d v="2026-09-07T00:00:00"/>
    <s v="Customer 031"/>
    <x v="2"/>
    <x v="1"/>
    <x v="12"/>
    <n v="2"/>
    <n v="2199"/>
    <n v="5"/>
    <x v="3"/>
    <x v="4"/>
    <s v="New Town"/>
    <n v="4178.0999999999995"/>
    <x v="8"/>
  </r>
  <r>
    <s v="ORD1032"/>
    <d v="2026-06-10T00:00:00"/>
    <s v="Customer 032"/>
    <x v="1"/>
    <x v="4"/>
    <x v="18"/>
    <n v="1"/>
    <n v="899"/>
    <n v="0"/>
    <x v="2"/>
    <x v="5"/>
    <s v="Mansarovar"/>
    <n v="899"/>
    <x v="4"/>
  </r>
  <r>
    <s v="ORD1033"/>
    <d v="2026-04-06T00:00:00"/>
    <s v="Customer 033"/>
    <x v="7"/>
    <x v="4"/>
    <x v="18"/>
    <n v="1"/>
    <n v="899"/>
    <n v="15"/>
    <x v="0"/>
    <x v="0"/>
    <s v="Andheri"/>
    <n v="764.15"/>
    <x v="0"/>
  </r>
  <r>
    <s v="ORD1034"/>
    <d v="2026-05-07T00:00:00"/>
    <s v="Customer 034"/>
    <x v="3"/>
    <x v="3"/>
    <x v="7"/>
    <n v="5"/>
    <n v="899"/>
    <n v="15"/>
    <x v="0"/>
    <x v="1"/>
    <s v="Indiranagar"/>
    <n v="3820.75"/>
    <x v="3"/>
  </r>
  <r>
    <s v="ORD1035"/>
    <d v="2026-09-25T00:00:00"/>
    <s v="Customer 035"/>
    <x v="0"/>
    <x v="4"/>
    <x v="15"/>
    <n v="3"/>
    <n v="2899"/>
    <n v="10"/>
    <x v="1"/>
    <x v="0"/>
    <s v="Dwarka"/>
    <n v="7827.3"/>
    <x v="8"/>
  </r>
  <r>
    <s v="ORD1036"/>
    <d v="2026-03-09T00:00:00"/>
    <s v="Customer 036"/>
    <x v="6"/>
    <x v="0"/>
    <x v="16"/>
    <n v="3"/>
    <n v="1999"/>
    <n v="10"/>
    <x v="3"/>
    <x v="3"/>
    <s v="Navrangpura"/>
    <n v="5397.3"/>
    <x v="6"/>
  </r>
  <r>
    <s v="ORD1037"/>
    <d v="2026-02-21T00:00:00"/>
    <s v="Customer 037"/>
    <x v="1"/>
    <x v="4"/>
    <x v="15"/>
    <n v="1"/>
    <n v="2899"/>
    <n v="15"/>
    <x v="1"/>
    <x v="1"/>
    <s v="Vaishali Nagar"/>
    <n v="2464.15"/>
    <x v="5"/>
  </r>
  <r>
    <s v="ORD1038"/>
    <d v="2026-05-06T00:00:00"/>
    <s v="Customer 038"/>
    <x v="5"/>
    <x v="0"/>
    <x v="9"/>
    <n v="3"/>
    <n v="1299"/>
    <n v="10"/>
    <x v="1"/>
    <x v="5"/>
    <s v="Hinjewadi"/>
    <n v="3507.3"/>
    <x v="3"/>
  </r>
  <r>
    <s v="ORD1039"/>
    <d v="2026-06-03T00:00:00"/>
    <s v="Customer 039"/>
    <x v="5"/>
    <x v="4"/>
    <x v="18"/>
    <n v="1"/>
    <n v="899"/>
    <n v="5"/>
    <x v="3"/>
    <x v="3"/>
    <s v="Viman Nagar"/>
    <n v="854.05"/>
    <x v="4"/>
  </r>
  <r>
    <s v="ORD1040"/>
    <d v="2026-05-20T00:00:00"/>
    <s v="Customer 040"/>
    <x v="0"/>
    <x v="4"/>
    <x v="17"/>
    <n v="3"/>
    <n v="2499"/>
    <n v="15"/>
    <x v="1"/>
    <x v="0"/>
    <s v="Saket"/>
    <n v="6372.45"/>
    <x v="3"/>
  </r>
  <r>
    <s v="ORD1041"/>
    <d v="2026-09-08T00:00:00"/>
    <s v="Customer 041"/>
    <x v="6"/>
    <x v="0"/>
    <x v="8"/>
    <n v="3"/>
    <n v="699"/>
    <n v="0"/>
    <x v="0"/>
    <x v="0"/>
    <s v="Navrangpura"/>
    <n v="2097"/>
    <x v="8"/>
  </r>
  <r>
    <s v="ORD1042"/>
    <d v="2026-06-20T00:00:00"/>
    <s v="Customer 042"/>
    <x v="4"/>
    <x v="3"/>
    <x v="6"/>
    <n v="2"/>
    <n v="799"/>
    <n v="20"/>
    <x v="3"/>
    <x v="4"/>
    <s v="Kukatpally"/>
    <n v="1278.4000000000001"/>
    <x v="4"/>
  </r>
  <r>
    <s v="ORD1043"/>
    <d v="2026-01-05T00:00:00"/>
    <s v="Customer 043"/>
    <x v="2"/>
    <x v="1"/>
    <x v="12"/>
    <n v="1"/>
    <n v="2199"/>
    <n v="0"/>
    <x v="1"/>
    <x v="1"/>
    <s v="Behala"/>
    <n v="2199"/>
    <x v="1"/>
  </r>
  <r>
    <s v="ORD1044"/>
    <d v="2026-03-17T00:00:00"/>
    <s v="Customer 044"/>
    <x v="1"/>
    <x v="4"/>
    <x v="15"/>
    <n v="4"/>
    <n v="2899"/>
    <n v="5"/>
    <x v="0"/>
    <x v="2"/>
    <s v="Vaishali Nagar"/>
    <n v="11016.199999999999"/>
    <x v="6"/>
  </r>
  <r>
    <s v="ORD1045"/>
    <d v="2026-05-08T00:00:00"/>
    <s v="Customer 045"/>
    <x v="6"/>
    <x v="0"/>
    <x v="0"/>
    <n v="1"/>
    <n v="2499"/>
    <n v="10"/>
    <x v="2"/>
    <x v="5"/>
    <s v="Navrangpura"/>
    <n v="2249.1"/>
    <x v="3"/>
  </r>
  <r>
    <s v="ORD1046"/>
    <d v="2026-07-31T00:00:00"/>
    <s v="Customer 046"/>
    <x v="7"/>
    <x v="2"/>
    <x v="19"/>
    <n v="1"/>
    <n v="3299"/>
    <n v="5"/>
    <x v="3"/>
    <x v="5"/>
    <s v="Andheri"/>
    <n v="3134.0499999999997"/>
    <x v="7"/>
  </r>
  <r>
    <s v="ORD1047"/>
    <d v="2026-07-15T00:00:00"/>
    <s v="Customer 047"/>
    <x v="3"/>
    <x v="2"/>
    <x v="20"/>
    <n v="1"/>
    <n v="1599"/>
    <n v="10"/>
    <x v="1"/>
    <x v="4"/>
    <s v="Indiranagar"/>
    <n v="1439.1000000000001"/>
    <x v="7"/>
  </r>
  <r>
    <s v="ORD1048"/>
    <d v="2026-04-25T00:00:00"/>
    <s v="Customer 048"/>
    <x v="2"/>
    <x v="0"/>
    <x v="0"/>
    <n v="1"/>
    <n v="2499"/>
    <n v="20"/>
    <x v="1"/>
    <x v="5"/>
    <s v="New Town"/>
    <n v="1999.2"/>
    <x v="0"/>
  </r>
  <r>
    <s v="ORD1049"/>
    <d v="2026-06-29T00:00:00"/>
    <s v="Customer 049"/>
    <x v="6"/>
    <x v="3"/>
    <x v="4"/>
    <n v="5"/>
    <n v="1199"/>
    <n v="10"/>
    <x v="2"/>
    <x v="2"/>
    <s v="Satellite"/>
    <n v="5395.5"/>
    <x v="4"/>
  </r>
  <r>
    <s v="ORD1050"/>
    <d v="2026-05-16T00:00:00"/>
    <s v="Customer 050"/>
    <x v="1"/>
    <x v="0"/>
    <x v="0"/>
    <n v="1"/>
    <n v="2499"/>
    <n v="0"/>
    <x v="2"/>
    <x v="5"/>
    <s v="Malviya Nagar"/>
    <n v="2499"/>
    <x v="3"/>
  </r>
  <r>
    <s v="ORD1051"/>
    <d v="2026-09-19T00:00:00"/>
    <s v="Customer 051"/>
    <x v="6"/>
    <x v="0"/>
    <x v="16"/>
    <n v="1"/>
    <n v="1999"/>
    <n v="10"/>
    <x v="2"/>
    <x v="4"/>
    <s v="Bopal"/>
    <n v="1799.1000000000001"/>
    <x v="8"/>
  </r>
  <r>
    <s v="ORD1052"/>
    <d v="2026-09-24T00:00:00"/>
    <s v="Customer 052"/>
    <x v="5"/>
    <x v="1"/>
    <x v="1"/>
    <n v="5"/>
    <n v="399"/>
    <n v="20"/>
    <x v="1"/>
    <x v="2"/>
    <s v="Hinjewadi"/>
    <n v="1596"/>
    <x v="8"/>
  </r>
  <r>
    <s v="ORD1053"/>
    <d v="2026-06-10T00:00:00"/>
    <s v="Customer 053"/>
    <x v="4"/>
    <x v="0"/>
    <x v="8"/>
    <n v="1"/>
    <n v="699"/>
    <n v="20"/>
    <x v="3"/>
    <x v="1"/>
    <s v="Madhapur"/>
    <n v="559.20000000000005"/>
    <x v="4"/>
  </r>
  <r>
    <s v="ORD1054"/>
    <d v="2026-07-26T00:00:00"/>
    <s v="Customer 054"/>
    <x v="5"/>
    <x v="1"/>
    <x v="3"/>
    <n v="3"/>
    <n v="1499"/>
    <n v="15"/>
    <x v="1"/>
    <x v="4"/>
    <s v="Viman Nagar"/>
    <n v="3822.45"/>
    <x v="7"/>
  </r>
  <r>
    <s v="ORD1055"/>
    <d v="2026-06-04T00:00:00"/>
    <s v="Customer 055"/>
    <x v="4"/>
    <x v="1"/>
    <x v="10"/>
    <n v="4"/>
    <n v="599"/>
    <n v="15"/>
    <x v="0"/>
    <x v="2"/>
    <s v="Gachibowli"/>
    <n v="2036.6"/>
    <x v="4"/>
  </r>
  <r>
    <s v="ORD1056"/>
    <d v="2026-06-14T00:00:00"/>
    <s v="Customer 056"/>
    <x v="5"/>
    <x v="1"/>
    <x v="12"/>
    <n v="4"/>
    <n v="2199"/>
    <n v="10"/>
    <x v="4"/>
    <x v="0"/>
    <s v="Hinjewadi"/>
    <n v="7916.4000000000005"/>
    <x v="4"/>
  </r>
  <r>
    <s v="ORD1057"/>
    <d v="2026-02-13T00:00:00"/>
    <s v="Customer 057"/>
    <x v="3"/>
    <x v="1"/>
    <x v="10"/>
    <n v="3"/>
    <n v="599"/>
    <n v="15"/>
    <x v="2"/>
    <x v="2"/>
    <s v="HSR Layout"/>
    <n v="1527.45"/>
    <x v="5"/>
  </r>
  <r>
    <s v="ORD1058"/>
    <d v="2026-04-12T00:00:00"/>
    <s v="Customer 058"/>
    <x v="0"/>
    <x v="0"/>
    <x v="0"/>
    <n v="2"/>
    <n v="2499"/>
    <n v="0"/>
    <x v="0"/>
    <x v="4"/>
    <s v="Rohini"/>
    <n v="4998"/>
    <x v="0"/>
  </r>
  <r>
    <s v="ORD1059"/>
    <d v="2026-08-01T00:00:00"/>
    <s v="Customer 059"/>
    <x v="2"/>
    <x v="3"/>
    <x v="5"/>
    <n v="5"/>
    <n v="1299"/>
    <n v="5"/>
    <x v="4"/>
    <x v="5"/>
    <s v="Behala"/>
    <n v="6170.25"/>
    <x v="2"/>
  </r>
  <r>
    <s v="ORD1060"/>
    <d v="2026-02-24T00:00:00"/>
    <s v="Customer 060"/>
    <x v="4"/>
    <x v="2"/>
    <x v="20"/>
    <n v="4"/>
    <n v="1599"/>
    <n v="5"/>
    <x v="1"/>
    <x v="0"/>
    <s v="Madhapur"/>
    <n v="6076.2"/>
    <x v="5"/>
  </r>
  <r>
    <s v="ORD1061"/>
    <d v="2026-03-04T00:00:00"/>
    <s v="Customer 061"/>
    <x v="2"/>
    <x v="4"/>
    <x v="17"/>
    <n v="4"/>
    <n v="2499"/>
    <n v="5"/>
    <x v="4"/>
    <x v="0"/>
    <s v="Salt Lake"/>
    <n v="9496.1999999999989"/>
    <x v="6"/>
  </r>
  <r>
    <s v="ORD1062"/>
    <d v="2026-08-07T00:00:00"/>
    <s v="Customer 062"/>
    <x v="6"/>
    <x v="4"/>
    <x v="15"/>
    <n v="5"/>
    <n v="2899"/>
    <n v="10"/>
    <x v="1"/>
    <x v="0"/>
    <s v="Satellite"/>
    <n v="13045.5"/>
    <x v="2"/>
  </r>
  <r>
    <s v="ORD1063"/>
    <d v="2026-05-22T00:00:00"/>
    <s v="Customer 063"/>
    <x v="2"/>
    <x v="0"/>
    <x v="0"/>
    <n v="5"/>
    <n v="2499"/>
    <n v="10"/>
    <x v="1"/>
    <x v="2"/>
    <s v="New Town"/>
    <n v="11245.5"/>
    <x v="3"/>
  </r>
  <r>
    <s v="ORD1064"/>
    <d v="2026-05-20T00:00:00"/>
    <s v="Customer 064"/>
    <x v="2"/>
    <x v="0"/>
    <x v="0"/>
    <n v="3"/>
    <n v="2499"/>
    <n v="10"/>
    <x v="2"/>
    <x v="3"/>
    <s v="Salt Lake"/>
    <n v="6747.3"/>
    <x v="3"/>
  </r>
  <r>
    <s v="ORD1065"/>
    <d v="2026-03-20T00:00:00"/>
    <s v="Customer 065"/>
    <x v="7"/>
    <x v="2"/>
    <x v="21"/>
    <n v="2"/>
    <n v="2799"/>
    <n v="0"/>
    <x v="4"/>
    <x v="5"/>
    <s v="Andheri"/>
    <n v="5598"/>
    <x v="6"/>
  </r>
  <r>
    <s v="ORD1066"/>
    <d v="2026-02-01T00:00:00"/>
    <s v="Customer 066"/>
    <x v="6"/>
    <x v="1"/>
    <x v="22"/>
    <n v="2"/>
    <n v="1899"/>
    <n v="10"/>
    <x v="4"/>
    <x v="1"/>
    <s v="Bopal"/>
    <n v="3418.2000000000003"/>
    <x v="5"/>
  </r>
  <r>
    <s v="ORD1067"/>
    <d v="2026-01-04T00:00:00"/>
    <s v="Customer 067"/>
    <x v="1"/>
    <x v="1"/>
    <x v="22"/>
    <n v="3"/>
    <n v="1899"/>
    <n v="10"/>
    <x v="4"/>
    <x v="5"/>
    <s v="Mansarovar"/>
    <n v="5127.3"/>
    <x v="1"/>
  </r>
  <r>
    <s v="ORD1068"/>
    <d v="2026-08-12T00:00:00"/>
    <s v="Customer 068"/>
    <x v="3"/>
    <x v="2"/>
    <x v="23"/>
    <n v="4"/>
    <n v="4999"/>
    <n v="0"/>
    <x v="4"/>
    <x v="2"/>
    <s v="Indiranagar"/>
    <n v="19996"/>
    <x v="2"/>
  </r>
  <r>
    <s v="ORD1069"/>
    <d v="2026-03-07T00:00:00"/>
    <s v="Customer 069"/>
    <x v="4"/>
    <x v="2"/>
    <x v="21"/>
    <n v="5"/>
    <n v="2799"/>
    <n v="15"/>
    <x v="0"/>
    <x v="5"/>
    <s v="Gachibowli"/>
    <n v="11895.75"/>
    <x v="6"/>
  </r>
  <r>
    <s v="ORD1070"/>
    <d v="2026-08-25T00:00:00"/>
    <s v="Customer 070"/>
    <x v="1"/>
    <x v="1"/>
    <x v="10"/>
    <n v="2"/>
    <n v="599"/>
    <n v="0"/>
    <x v="3"/>
    <x v="5"/>
    <s v="Malviya Nagar"/>
    <n v="1198"/>
    <x v="2"/>
  </r>
  <r>
    <s v="ORD1071"/>
    <d v="2026-06-22T00:00:00"/>
    <s v="Customer 071"/>
    <x v="6"/>
    <x v="1"/>
    <x v="3"/>
    <n v="4"/>
    <n v="1499"/>
    <n v="10"/>
    <x v="4"/>
    <x v="2"/>
    <s v="Navrangpura"/>
    <n v="5396.4000000000005"/>
    <x v="4"/>
  </r>
  <r>
    <s v="ORD1072"/>
    <d v="2026-01-27T00:00:00"/>
    <s v="Customer 072"/>
    <x v="0"/>
    <x v="3"/>
    <x v="7"/>
    <n v="3"/>
    <n v="899"/>
    <n v="5"/>
    <x v="0"/>
    <x v="0"/>
    <s v="Dwarka"/>
    <n v="2562.15"/>
    <x v="1"/>
  </r>
  <r>
    <s v="ORD1073"/>
    <d v="2026-01-11T00:00:00"/>
    <s v="Customer 073"/>
    <x v="1"/>
    <x v="2"/>
    <x v="19"/>
    <n v="5"/>
    <n v="3299"/>
    <n v="5"/>
    <x v="1"/>
    <x v="4"/>
    <s v="Malviya Nagar"/>
    <n v="15670.25"/>
    <x v="1"/>
  </r>
  <r>
    <s v="ORD1074"/>
    <d v="2026-04-22T00:00:00"/>
    <s v="Customer 074"/>
    <x v="2"/>
    <x v="3"/>
    <x v="7"/>
    <n v="4"/>
    <n v="899"/>
    <n v="20"/>
    <x v="3"/>
    <x v="2"/>
    <s v="Behala"/>
    <n v="2876.8"/>
    <x v="0"/>
  </r>
  <r>
    <s v="ORD1075"/>
    <d v="2026-03-25T00:00:00"/>
    <s v="Customer 075"/>
    <x v="7"/>
    <x v="4"/>
    <x v="18"/>
    <n v="3"/>
    <n v="899"/>
    <n v="0"/>
    <x v="2"/>
    <x v="3"/>
    <s v="Thane"/>
    <n v="2697"/>
    <x v="6"/>
  </r>
  <r>
    <s v="ORD1076"/>
    <d v="2026-04-12T00:00:00"/>
    <s v="Customer 076"/>
    <x v="5"/>
    <x v="1"/>
    <x v="22"/>
    <n v="1"/>
    <n v="1899"/>
    <n v="15"/>
    <x v="1"/>
    <x v="3"/>
    <s v="Viman Nagar"/>
    <n v="1614.1499999999999"/>
    <x v="0"/>
  </r>
  <r>
    <s v="ORD1077"/>
    <d v="2026-01-22T00:00:00"/>
    <s v="Customer 077"/>
    <x v="5"/>
    <x v="4"/>
    <x v="18"/>
    <n v="3"/>
    <n v="899"/>
    <n v="15"/>
    <x v="4"/>
    <x v="0"/>
    <s v="Viman Nagar"/>
    <n v="2292.4499999999998"/>
    <x v="1"/>
  </r>
  <r>
    <s v="ORD1078"/>
    <d v="2026-01-07T00:00:00"/>
    <s v="Customer 078"/>
    <x v="6"/>
    <x v="4"/>
    <x v="13"/>
    <n v="4"/>
    <n v="999"/>
    <n v="10"/>
    <x v="0"/>
    <x v="5"/>
    <s v="Navrangpura"/>
    <n v="3596.4"/>
    <x v="1"/>
  </r>
  <r>
    <s v="ORD1079"/>
    <d v="2026-08-11T00:00:00"/>
    <s v="Customer 079"/>
    <x v="6"/>
    <x v="1"/>
    <x v="10"/>
    <n v="2"/>
    <n v="599"/>
    <n v="20"/>
    <x v="2"/>
    <x v="0"/>
    <s v="Bopal"/>
    <n v="958.40000000000009"/>
    <x v="2"/>
  </r>
  <r>
    <s v="ORD1080"/>
    <d v="2026-08-27T00:00:00"/>
    <s v="Customer 080"/>
    <x v="5"/>
    <x v="4"/>
    <x v="11"/>
    <n v="4"/>
    <n v="1999"/>
    <n v="20"/>
    <x v="2"/>
    <x v="2"/>
    <s v="Viman Nagar"/>
    <n v="6396.8"/>
    <x v="2"/>
  </r>
  <r>
    <s v="ORD1081"/>
    <d v="2026-08-19T00:00:00"/>
    <s v="Customer 081"/>
    <x v="6"/>
    <x v="3"/>
    <x v="4"/>
    <n v="2"/>
    <n v="1199"/>
    <n v="10"/>
    <x v="2"/>
    <x v="1"/>
    <s v="Navrangpura"/>
    <n v="2158.2000000000003"/>
    <x v="2"/>
  </r>
  <r>
    <s v="ORD1082"/>
    <d v="2026-06-16T00:00:00"/>
    <s v="Customer 082"/>
    <x v="4"/>
    <x v="3"/>
    <x v="5"/>
    <n v="2"/>
    <n v="1299"/>
    <n v="10"/>
    <x v="1"/>
    <x v="2"/>
    <s v="Kukatpally"/>
    <n v="2338.2000000000003"/>
    <x v="4"/>
  </r>
  <r>
    <s v="ORD1083"/>
    <d v="2026-05-22T00:00:00"/>
    <s v="Customer 083"/>
    <x v="5"/>
    <x v="0"/>
    <x v="8"/>
    <n v="5"/>
    <n v="699"/>
    <n v="0"/>
    <x v="2"/>
    <x v="4"/>
    <s v="Kothrud"/>
    <n v="3495"/>
    <x v="3"/>
  </r>
  <r>
    <s v="ORD1084"/>
    <d v="2026-05-04T00:00:00"/>
    <s v="Customer 084"/>
    <x v="0"/>
    <x v="1"/>
    <x v="22"/>
    <n v="4"/>
    <n v="1899"/>
    <n v="20"/>
    <x v="4"/>
    <x v="5"/>
    <s v="Rohini"/>
    <n v="6076.8"/>
    <x v="3"/>
  </r>
  <r>
    <s v="ORD1085"/>
    <d v="2026-07-27T00:00:00"/>
    <s v="Customer 085"/>
    <x v="1"/>
    <x v="0"/>
    <x v="0"/>
    <n v="2"/>
    <n v="2499"/>
    <n v="10"/>
    <x v="2"/>
    <x v="2"/>
    <s v="Malviya Nagar"/>
    <n v="4498.2"/>
    <x v="7"/>
  </r>
  <r>
    <s v="ORD1086"/>
    <d v="2026-08-06T00:00:00"/>
    <s v="Customer 086"/>
    <x v="2"/>
    <x v="4"/>
    <x v="13"/>
    <n v="5"/>
    <n v="999"/>
    <n v="10"/>
    <x v="3"/>
    <x v="0"/>
    <s v="Behala"/>
    <n v="4495.5"/>
    <x v="2"/>
  </r>
  <r>
    <s v="ORD1087"/>
    <d v="2026-04-29T00:00:00"/>
    <s v="Customer 087"/>
    <x v="2"/>
    <x v="0"/>
    <x v="14"/>
    <n v="1"/>
    <n v="1799"/>
    <n v="20"/>
    <x v="1"/>
    <x v="2"/>
    <s v="New Town"/>
    <n v="1439.2"/>
    <x v="0"/>
  </r>
  <r>
    <s v="ORD1088"/>
    <d v="2026-04-09T00:00:00"/>
    <s v="Customer 088"/>
    <x v="0"/>
    <x v="4"/>
    <x v="17"/>
    <n v="2"/>
    <n v="2499"/>
    <n v="20"/>
    <x v="4"/>
    <x v="2"/>
    <s v="Saket"/>
    <n v="3998.4"/>
    <x v="0"/>
  </r>
  <r>
    <s v="ORD1089"/>
    <d v="2026-04-27T00:00:00"/>
    <s v="Customer 089"/>
    <x v="5"/>
    <x v="2"/>
    <x v="23"/>
    <n v="3"/>
    <n v="4999"/>
    <n v="5"/>
    <x v="3"/>
    <x v="3"/>
    <s v="Hinjewadi"/>
    <n v="14247.15"/>
    <x v="0"/>
  </r>
  <r>
    <s v="ORD1090"/>
    <d v="2026-05-30T00:00:00"/>
    <s v="Customer 090"/>
    <x v="7"/>
    <x v="3"/>
    <x v="6"/>
    <n v="2"/>
    <n v="799"/>
    <n v="20"/>
    <x v="4"/>
    <x v="3"/>
    <s v="Borivali"/>
    <n v="1278.4000000000001"/>
    <x v="3"/>
  </r>
  <r>
    <s v="ORD1091"/>
    <d v="2026-09-03T00:00:00"/>
    <s v="Customer 091"/>
    <x v="1"/>
    <x v="0"/>
    <x v="16"/>
    <n v="4"/>
    <n v="1999"/>
    <n v="10"/>
    <x v="1"/>
    <x v="3"/>
    <s v="Mansarovar"/>
    <n v="7196.4000000000005"/>
    <x v="8"/>
  </r>
  <r>
    <s v="ORD1092"/>
    <d v="2026-07-25T00:00:00"/>
    <s v="Customer 092"/>
    <x v="5"/>
    <x v="3"/>
    <x v="6"/>
    <n v="4"/>
    <n v="799"/>
    <n v="0"/>
    <x v="2"/>
    <x v="0"/>
    <s v="Kothrud"/>
    <n v="3196"/>
    <x v="7"/>
  </r>
  <r>
    <s v="ORD1093"/>
    <d v="2026-06-05T00:00:00"/>
    <s v="Customer 093"/>
    <x v="1"/>
    <x v="2"/>
    <x v="2"/>
    <n v="1"/>
    <n v="999"/>
    <n v="5"/>
    <x v="0"/>
    <x v="1"/>
    <s v="Malviya Nagar"/>
    <n v="949.05"/>
    <x v="4"/>
  </r>
  <r>
    <s v="ORD1094"/>
    <d v="2026-04-26T00:00:00"/>
    <s v="Customer 094"/>
    <x v="4"/>
    <x v="4"/>
    <x v="15"/>
    <n v="5"/>
    <n v="2899"/>
    <n v="10"/>
    <x v="4"/>
    <x v="5"/>
    <s v="Gachibowli"/>
    <n v="13045.5"/>
    <x v="0"/>
  </r>
  <r>
    <s v="ORD1095"/>
    <d v="2026-01-31T00:00:00"/>
    <s v="Customer 095"/>
    <x v="5"/>
    <x v="1"/>
    <x v="3"/>
    <n v="5"/>
    <n v="1499"/>
    <n v="20"/>
    <x v="0"/>
    <x v="4"/>
    <s v="Viman Nagar"/>
    <n v="5996"/>
    <x v="1"/>
  </r>
  <r>
    <s v="ORD1096"/>
    <d v="2026-05-03T00:00:00"/>
    <s v="Customer 096"/>
    <x v="3"/>
    <x v="3"/>
    <x v="24"/>
    <n v="2"/>
    <n v="1499"/>
    <n v="15"/>
    <x v="0"/>
    <x v="4"/>
    <s v="Indiranagar"/>
    <n v="2548.2999999999997"/>
    <x v="3"/>
  </r>
  <r>
    <s v="ORD1097"/>
    <d v="2026-08-29T00:00:00"/>
    <s v="Customer 097"/>
    <x v="1"/>
    <x v="1"/>
    <x v="12"/>
    <n v="3"/>
    <n v="2199"/>
    <n v="0"/>
    <x v="1"/>
    <x v="2"/>
    <s v="Vaishali Nagar"/>
    <n v="6597"/>
    <x v="2"/>
  </r>
  <r>
    <s v="ORD1098"/>
    <d v="2026-04-30T00:00:00"/>
    <s v="Customer 098"/>
    <x v="5"/>
    <x v="1"/>
    <x v="1"/>
    <n v="3"/>
    <n v="399"/>
    <n v="20"/>
    <x v="2"/>
    <x v="0"/>
    <s v="Viman Nagar"/>
    <n v="957.6"/>
    <x v="0"/>
  </r>
  <r>
    <s v="ORD1099"/>
    <d v="2026-04-26T00:00:00"/>
    <s v="Customer 099"/>
    <x v="3"/>
    <x v="3"/>
    <x v="7"/>
    <n v="2"/>
    <n v="899"/>
    <n v="10"/>
    <x v="1"/>
    <x v="3"/>
    <s v="Indiranagar"/>
    <n v="1618.2"/>
    <x v="0"/>
  </r>
  <r>
    <s v="ORD1100"/>
    <d v="2026-05-28T00:00:00"/>
    <s v="Customer 100"/>
    <x v="1"/>
    <x v="0"/>
    <x v="8"/>
    <n v="4"/>
    <n v="699"/>
    <n v="0"/>
    <x v="4"/>
    <x v="0"/>
    <s v="Malviya Nagar"/>
    <n v="2796"/>
    <x v="3"/>
  </r>
  <r>
    <s v="ORD1101"/>
    <d v="2026-09-14T00:00:00"/>
    <s v="Customer 101"/>
    <x v="5"/>
    <x v="1"/>
    <x v="3"/>
    <n v="5"/>
    <n v="1499"/>
    <n v="10"/>
    <x v="4"/>
    <x v="3"/>
    <s v="Viman Nagar"/>
    <n v="6745.5"/>
    <x v="8"/>
  </r>
  <r>
    <s v="ORD1102"/>
    <d v="2026-05-09T00:00:00"/>
    <s v="Customer 102"/>
    <x v="1"/>
    <x v="0"/>
    <x v="8"/>
    <n v="1"/>
    <n v="699"/>
    <n v="0"/>
    <x v="1"/>
    <x v="0"/>
    <s v="Vaishali Nagar"/>
    <n v="699"/>
    <x v="3"/>
  </r>
  <r>
    <s v="ORD1103"/>
    <d v="2026-01-21T00:00:00"/>
    <s v="Customer 103"/>
    <x v="1"/>
    <x v="0"/>
    <x v="8"/>
    <n v="2"/>
    <n v="699"/>
    <n v="10"/>
    <x v="2"/>
    <x v="0"/>
    <s v="Mansarovar"/>
    <n v="1258.2"/>
    <x v="1"/>
  </r>
  <r>
    <s v="ORD1104"/>
    <d v="2026-08-12T00:00:00"/>
    <s v="Customer 104"/>
    <x v="2"/>
    <x v="2"/>
    <x v="2"/>
    <n v="4"/>
    <n v="999"/>
    <n v="0"/>
    <x v="4"/>
    <x v="2"/>
    <s v="New Town"/>
    <n v="3996"/>
    <x v="2"/>
  </r>
  <r>
    <s v="ORD1105"/>
    <d v="2026-03-24T00:00:00"/>
    <s v="Customer 105"/>
    <x v="4"/>
    <x v="0"/>
    <x v="9"/>
    <n v="3"/>
    <n v="1299"/>
    <n v="10"/>
    <x v="4"/>
    <x v="2"/>
    <s v="Kukatpally"/>
    <n v="3507.3"/>
    <x v="6"/>
  </r>
  <r>
    <s v="ORD1106"/>
    <d v="2026-02-15T00:00:00"/>
    <s v="Customer 106"/>
    <x v="4"/>
    <x v="3"/>
    <x v="5"/>
    <n v="3"/>
    <n v="1299"/>
    <n v="10"/>
    <x v="3"/>
    <x v="3"/>
    <s v="Gachibowli"/>
    <n v="3507.3"/>
    <x v="5"/>
  </r>
  <r>
    <s v="ORD1107"/>
    <d v="2026-08-25T00:00:00"/>
    <s v="Customer 107"/>
    <x v="4"/>
    <x v="3"/>
    <x v="7"/>
    <n v="4"/>
    <n v="899"/>
    <n v="0"/>
    <x v="1"/>
    <x v="1"/>
    <s v="Gachibowli"/>
    <n v="3596"/>
    <x v="2"/>
  </r>
  <r>
    <s v="ORD1108"/>
    <d v="2026-01-27T00:00:00"/>
    <s v="Customer 108"/>
    <x v="6"/>
    <x v="1"/>
    <x v="22"/>
    <n v="2"/>
    <n v="1899"/>
    <n v="10"/>
    <x v="2"/>
    <x v="4"/>
    <s v="Bopal"/>
    <n v="3418.2000000000003"/>
    <x v="1"/>
  </r>
  <r>
    <s v="ORD1109"/>
    <d v="2026-01-15T00:00:00"/>
    <s v="Customer 109"/>
    <x v="5"/>
    <x v="1"/>
    <x v="1"/>
    <n v="5"/>
    <n v="399"/>
    <n v="5"/>
    <x v="1"/>
    <x v="2"/>
    <s v="Kothrud"/>
    <n v="1895.25"/>
    <x v="1"/>
  </r>
  <r>
    <s v="ORD1110"/>
    <d v="2026-04-26T00:00:00"/>
    <s v="Customer 110"/>
    <x v="1"/>
    <x v="1"/>
    <x v="1"/>
    <n v="1"/>
    <n v="399"/>
    <n v="10"/>
    <x v="0"/>
    <x v="0"/>
    <s v="Mansarovar"/>
    <n v="359.1"/>
    <x v="0"/>
  </r>
  <r>
    <s v="ORD1111"/>
    <d v="2026-05-20T00:00:00"/>
    <s v="Customer 111"/>
    <x v="7"/>
    <x v="0"/>
    <x v="8"/>
    <n v="4"/>
    <n v="699"/>
    <n v="10"/>
    <x v="4"/>
    <x v="4"/>
    <s v="Borivali"/>
    <n v="2516.4"/>
    <x v="3"/>
  </r>
  <r>
    <s v="ORD1112"/>
    <d v="2026-04-08T00:00:00"/>
    <s v="Customer 112"/>
    <x v="2"/>
    <x v="2"/>
    <x v="21"/>
    <n v="5"/>
    <n v="2799"/>
    <n v="15"/>
    <x v="1"/>
    <x v="3"/>
    <s v="Behala"/>
    <n v="11895.75"/>
    <x v="0"/>
  </r>
  <r>
    <s v="ORD1113"/>
    <d v="2026-05-17T00:00:00"/>
    <s v="Customer 113"/>
    <x v="5"/>
    <x v="0"/>
    <x v="8"/>
    <n v="1"/>
    <n v="699"/>
    <n v="10"/>
    <x v="3"/>
    <x v="1"/>
    <s v="Kothrud"/>
    <n v="629.1"/>
    <x v="3"/>
  </r>
  <r>
    <s v="ORD1114"/>
    <d v="2026-09-05T00:00:00"/>
    <s v="Customer 114"/>
    <x v="2"/>
    <x v="1"/>
    <x v="12"/>
    <n v="3"/>
    <n v="2199"/>
    <n v="10"/>
    <x v="2"/>
    <x v="1"/>
    <s v="Salt Lake"/>
    <n v="5937.3"/>
    <x v="8"/>
  </r>
  <r>
    <s v="ORD1115"/>
    <d v="2026-05-03T00:00:00"/>
    <s v="Customer 115"/>
    <x v="4"/>
    <x v="0"/>
    <x v="0"/>
    <n v="5"/>
    <n v="2499"/>
    <n v="10"/>
    <x v="1"/>
    <x v="5"/>
    <s v="Kukatpally"/>
    <n v="11245.5"/>
    <x v="3"/>
  </r>
  <r>
    <s v="ORD1116"/>
    <d v="2026-07-17T00:00:00"/>
    <s v="Customer 116"/>
    <x v="1"/>
    <x v="1"/>
    <x v="22"/>
    <n v="2"/>
    <n v="1899"/>
    <n v="10"/>
    <x v="0"/>
    <x v="4"/>
    <s v="Vaishali Nagar"/>
    <n v="3418.2000000000003"/>
    <x v="7"/>
  </r>
  <r>
    <s v="ORD1117"/>
    <d v="2026-09-27T00:00:00"/>
    <s v="Customer 117"/>
    <x v="6"/>
    <x v="1"/>
    <x v="1"/>
    <n v="4"/>
    <n v="399"/>
    <n v="0"/>
    <x v="1"/>
    <x v="5"/>
    <s v="Navrangpura"/>
    <n v="1596"/>
    <x v="8"/>
  </r>
  <r>
    <s v="ORD1118"/>
    <d v="2026-06-23T00:00:00"/>
    <s v="Customer 118"/>
    <x v="7"/>
    <x v="1"/>
    <x v="3"/>
    <n v="5"/>
    <n v="1499"/>
    <n v="20"/>
    <x v="4"/>
    <x v="0"/>
    <s v="Andheri"/>
    <n v="5996"/>
    <x v="4"/>
  </r>
  <r>
    <s v="ORD1119"/>
    <d v="2026-06-12T00:00:00"/>
    <s v="Customer 119"/>
    <x v="0"/>
    <x v="4"/>
    <x v="11"/>
    <n v="4"/>
    <n v="1999"/>
    <n v="15"/>
    <x v="0"/>
    <x v="1"/>
    <s v="Dwarka"/>
    <n v="6796.5999999999995"/>
    <x v="4"/>
  </r>
  <r>
    <s v="ORD1120"/>
    <d v="2026-02-16T00:00:00"/>
    <s v="Customer 120"/>
    <x v="0"/>
    <x v="0"/>
    <x v="0"/>
    <n v="4"/>
    <n v="2499"/>
    <n v="0"/>
    <x v="0"/>
    <x v="5"/>
    <s v="Rohini"/>
    <n v="9996"/>
    <x v="5"/>
  </r>
  <r>
    <s v="ORD1121"/>
    <d v="2026-01-24T00:00:00"/>
    <s v="Customer 121"/>
    <x v="7"/>
    <x v="0"/>
    <x v="9"/>
    <n v="3"/>
    <n v="1299"/>
    <n v="0"/>
    <x v="3"/>
    <x v="2"/>
    <s v="Thane"/>
    <n v="3897"/>
    <x v="1"/>
  </r>
  <r>
    <s v="ORD1122"/>
    <d v="2026-09-29T00:00:00"/>
    <s v="Customer 122"/>
    <x v="6"/>
    <x v="2"/>
    <x v="19"/>
    <n v="4"/>
    <n v="3299"/>
    <n v="15"/>
    <x v="1"/>
    <x v="4"/>
    <s v="Satellite"/>
    <n v="11216.6"/>
    <x v="8"/>
  </r>
  <r>
    <s v="ORD1123"/>
    <d v="2026-05-04T00:00:00"/>
    <s v="Customer 123"/>
    <x v="7"/>
    <x v="4"/>
    <x v="11"/>
    <n v="4"/>
    <n v="1999"/>
    <n v="15"/>
    <x v="1"/>
    <x v="4"/>
    <s v="Andheri"/>
    <n v="6796.5999999999995"/>
    <x v="3"/>
  </r>
  <r>
    <s v="ORD1124"/>
    <d v="2026-05-11T00:00:00"/>
    <s v="Customer 124"/>
    <x v="2"/>
    <x v="0"/>
    <x v="16"/>
    <n v="1"/>
    <n v="1999"/>
    <n v="10"/>
    <x v="3"/>
    <x v="0"/>
    <s v="Behala"/>
    <n v="1799.1000000000001"/>
    <x v="3"/>
  </r>
  <r>
    <s v="ORD1125"/>
    <d v="2026-06-03T00:00:00"/>
    <s v="Customer 125"/>
    <x v="7"/>
    <x v="1"/>
    <x v="3"/>
    <n v="4"/>
    <n v="1499"/>
    <n v="20"/>
    <x v="3"/>
    <x v="5"/>
    <s v="Andheri"/>
    <n v="4796.8"/>
    <x v="4"/>
  </r>
  <r>
    <s v="ORD1126"/>
    <d v="2026-02-24T00:00:00"/>
    <s v="Customer 126"/>
    <x v="5"/>
    <x v="1"/>
    <x v="22"/>
    <n v="2"/>
    <n v="1899"/>
    <n v="10"/>
    <x v="2"/>
    <x v="2"/>
    <s v="Hinjewadi"/>
    <n v="3418.2000000000003"/>
    <x v="5"/>
  </r>
  <r>
    <s v="ORD1127"/>
    <d v="2026-07-22T00:00:00"/>
    <s v="Customer 127"/>
    <x v="5"/>
    <x v="0"/>
    <x v="9"/>
    <n v="3"/>
    <n v="1299"/>
    <n v="0"/>
    <x v="2"/>
    <x v="0"/>
    <s v="Viman Nagar"/>
    <n v="3897"/>
    <x v="7"/>
  </r>
  <r>
    <s v="ORD1128"/>
    <d v="2026-04-28T00:00:00"/>
    <s v="Customer 128"/>
    <x v="1"/>
    <x v="1"/>
    <x v="3"/>
    <n v="5"/>
    <n v="1499"/>
    <n v="10"/>
    <x v="1"/>
    <x v="0"/>
    <s v="Mansarovar"/>
    <n v="6745.5"/>
    <x v="0"/>
  </r>
  <r>
    <s v="ORD1129"/>
    <d v="2026-02-19T00:00:00"/>
    <s v="Customer 129"/>
    <x v="3"/>
    <x v="0"/>
    <x v="0"/>
    <n v="1"/>
    <n v="2499"/>
    <n v="10"/>
    <x v="4"/>
    <x v="3"/>
    <s v="HSR Layout"/>
    <n v="2249.1"/>
    <x v="5"/>
  </r>
  <r>
    <s v="ORD1130"/>
    <d v="2026-06-01T00:00:00"/>
    <s v="Customer 130"/>
    <x v="6"/>
    <x v="2"/>
    <x v="20"/>
    <n v="3"/>
    <n v="1599"/>
    <n v="20"/>
    <x v="4"/>
    <x v="4"/>
    <s v="Bopal"/>
    <n v="3837.6000000000004"/>
    <x v="4"/>
  </r>
  <r>
    <s v="ORD1131"/>
    <d v="2026-09-29T00:00:00"/>
    <s v="Customer 131"/>
    <x v="3"/>
    <x v="4"/>
    <x v="13"/>
    <n v="5"/>
    <n v="999"/>
    <n v="10"/>
    <x v="1"/>
    <x v="2"/>
    <s v="Whitefield"/>
    <n v="4495.5"/>
    <x v="8"/>
  </r>
  <r>
    <s v="ORD1132"/>
    <d v="2026-08-28T00:00:00"/>
    <s v="Customer 132"/>
    <x v="2"/>
    <x v="0"/>
    <x v="9"/>
    <n v="1"/>
    <n v="1299"/>
    <n v="5"/>
    <x v="1"/>
    <x v="0"/>
    <s v="New Town"/>
    <n v="1234.05"/>
    <x v="2"/>
  </r>
  <r>
    <s v="ORD1133"/>
    <d v="2026-07-22T00:00:00"/>
    <s v="Customer 133"/>
    <x v="4"/>
    <x v="0"/>
    <x v="9"/>
    <n v="1"/>
    <n v="1299"/>
    <n v="10"/>
    <x v="2"/>
    <x v="3"/>
    <s v="Gachibowli"/>
    <n v="1169.1000000000001"/>
    <x v="7"/>
  </r>
  <r>
    <s v="ORD1134"/>
    <d v="2026-07-15T00:00:00"/>
    <s v="Customer 134"/>
    <x v="2"/>
    <x v="0"/>
    <x v="8"/>
    <n v="3"/>
    <n v="699"/>
    <n v="0"/>
    <x v="1"/>
    <x v="5"/>
    <s v="New Town"/>
    <n v="2097"/>
    <x v="7"/>
  </r>
  <r>
    <s v="ORD1135"/>
    <d v="2026-04-24T00:00:00"/>
    <s v="Customer 135"/>
    <x v="1"/>
    <x v="4"/>
    <x v="13"/>
    <n v="1"/>
    <n v="999"/>
    <n v="20"/>
    <x v="4"/>
    <x v="0"/>
    <s v="Mansarovar"/>
    <n v="799.2"/>
    <x v="0"/>
  </r>
  <r>
    <s v="ORD1136"/>
    <d v="2026-03-13T00:00:00"/>
    <s v="Customer 136"/>
    <x v="5"/>
    <x v="1"/>
    <x v="1"/>
    <n v="1"/>
    <n v="399"/>
    <n v="0"/>
    <x v="3"/>
    <x v="5"/>
    <s v="Viman Nagar"/>
    <n v="399"/>
    <x v="6"/>
  </r>
  <r>
    <s v="ORD1137"/>
    <d v="2026-03-11T00:00:00"/>
    <s v="Customer 137"/>
    <x v="0"/>
    <x v="2"/>
    <x v="2"/>
    <n v="4"/>
    <n v="999"/>
    <n v="10"/>
    <x v="3"/>
    <x v="0"/>
    <s v="Rohini"/>
    <n v="3596.4"/>
    <x v="6"/>
  </r>
  <r>
    <s v="ORD1138"/>
    <d v="2026-02-20T00:00:00"/>
    <s v="Customer 138"/>
    <x v="4"/>
    <x v="2"/>
    <x v="21"/>
    <n v="4"/>
    <n v="2799"/>
    <n v="15"/>
    <x v="4"/>
    <x v="2"/>
    <s v="Gachibowli"/>
    <n v="9516.6"/>
    <x v="5"/>
  </r>
  <r>
    <s v="ORD1139"/>
    <d v="2026-08-16T00:00:00"/>
    <s v="Customer 139"/>
    <x v="1"/>
    <x v="0"/>
    <x v="0"/>
    <n v="4"/>
    <n v="2499"/>
    <n v="5"/>
    <x v="3"/>
    <x v="3"/>
    <s v="Mansarovar"/>
    <n v="9496.1999999999989"/>
    <x v="2"/>
  </r>
  <r>
    <s v="ORD1140"/>
    <d v="2026-07-23T00:00:00"/>
    <s v="Customer 140"/>
    <x v="6"/>
    <x v="0"/>
    <x v="9"/>
    <n v="3"/>
    <n v="1299"/>
    <n v="5"/>
    <x v="0"/>
    <x v="5"/>
    <s v="Bopal"/>
    <n v="3702.1499999999996"/>
    <x v="7"/>
  </r>
  <r>
    <s v="ORD1141"/>
    <d v="2026-01-11T00:00:00"/>
    <s v="Customer 141"/>
    <x v="0"/>
    <x v="2"/>
    <x v="2"/>
    <n v="1"/>
    <n v="999"/>
    <n v="10"/>
    <x v="1"/>
    <x v="4"/>
    <s v="Saket"/>
    <n v="899.1"/>
    <x v="1"/>
  </r>
  <r>
    <s v="ORD1142"/>
    <d v="2026-04-21T00:00:00"/>
    <s v="Customer 142"/>
    <x v="3"/>
    <x v="4"/>
    <x v="17"/>
    <n v="2"/>
    <n v="2499"/>
    <n v="10"/>
    <x v="1"/>
    <x v="1"/>
    <s v="Whitefield"/>
    <n v="4498.2"/>
    <x v="0"/>
  </r>
  <r>
    <s v="ORD1143"/>
    <d v="2026-05-09T00:00:00"/>
    <s v="Customer 143"/>
    <x v="1"/>
    <x v="2"/>
    <x v="19"/>
    <n v="2"/>
    <n v="3299"/>
    <n v="0"/>
    <x v="0"/>
    <x v="4"/>
    <s v="Vaishali Nagar"/>
    <n v="6598"/>
    <x v="3"/>
  </r>
  <r>
    <s v="ORD1144"/>
    <d v="2026-06-15T00:00:00"/>
    <s v="Customer 144"/>
    <x v="1"/>
    <x v="2"/>
    <x v="2"/>
    <n v="1"/>
    <n v="999"/>
    <n v="5"/>
    <x v="3"/>
    <x v="3"/>
    <s v="Vaishali Nagar"/>
    <n v="949.05"/>
    <x v="4"/>
  </r>
  <r>
    <s v="ORD1145"/>
    <d v="2026-02-28T00:00:00"/>
    <s v="Customer 145"/>
    <x v="7"/>
    <x v="1"/>
    <x v="12"/>
    <n v="1"/>
    <n v="2199"/>
    <n v="10"/>
    <x v="4"/>
    <x v="2"/>
    <s v="Thane"/>
    <n v="1979.1000000000001"/>
    <x v="5"/>
  </r>
  <r>
    <s v="ORD1146"/>
    <d v="2026-01-23T00:00:00"/>
    <s v="Customer 146"/>
    <x v="0"/>
    <x v="4"/>
    <x v="17"/>
    <n v="5"/>
    <n v="2499"/>
    <n v="10"/>
    <x v="4"/>
    <x v="0"/>
    <s v="Dwarka"/>
    <n v="11245.5"/>
    <x v="1"/>
  </r>
  <r>
    <s v="ORD1147"/>
    <d v="2026-08-07T00:00:00"/>
    <s v="Customer 147"/>
    <x v="1"/>
    <x v="1"/>
    <x v="22"/>
    <n v="1"/>
    <n v="1899"/>
    <n v="10"/>
    <x v="4"/>
    <x v="3"/>
    <s v="Malviya Nagar"/>
    <n v="1709.1000000000001"/>
    <x v="2"/>
  </r>
  <r>
    <s v="ORD1148"/>
    <d v="2026-02-03T00:00:00"/>
    <s v="Customer 148"/>
    <x v="0"/>
    <x v="4"/>
    <x v="17"/>
    <n v="2"/>
    <n v="2499"/>
    <n v="10"/>
    <x v="2"/>
    <x v="0"/>
    <s v="Dwarka"/>
    <n v="4498.2"/>
    <x v="5"/>
  </r>
  <r>
    <s v="ORD1149"/>
    <d v="2026-05-31T00:00:00"/>
    <s v="Customer 149"/>
    <x v="6"/>
    <x v="4"/>
    <x v="15"/>
    <n v="4"/>
    <n v="2899"/>
    <n v="15"/>
    <x v="2"/>
    <x v="5"/>
    <s v="Satellite"/>
    <n v="9856.6"/>
    <x v="3"/>
  </r>
  <r>
    <s v="ORD1150"/>
    <d v="2026-04-21T00:00:00"/>
    <s v="Customer 150"/>
    <x v="0"/>
    <x v="3"/>
    <x v="7"/>
    <n v="4"/>
    <n v="899"/>
    <n v="10"/>
    <x v="1"/>
    <x v="5"/>
    <s v="Saket"/>
    <n v="3236.4"/>
    <x v="0"/>
  </r>
  <r>
    <s v="ORD1151"/>
    <d v="2026-02-18T00:00:00"/>
    <s v="Customer 151"/>
    <x v="6"/>
    <x v="1"/>
    <x v="22"/>
    <n v="3"/>
    <n v="1899"/>
    <n v="10"/>
    <x v="3"/>
    <x v="0"/>
    <s v="Satellite"/>
    <n v="5127.3"/>
    <x v="5"/>
  </r>
  <r>
    <s v="ORD1152"/>
    <d v="2026-02-04T00:00:00"/>
    <s v="Customer 152"/>
    <x v="5"/>
    <x v="2"/>
    <x v="21"/>
    <n v="1"/>
    <n v="2799"/>
    <n v="0"/>
    <x v="0"/>
    <x v="5"/>
    <s v="Kothrud"/>
    <n v="2799"/>
    <x v="5"/>
  </r>
  <r>
    <s v="ORD1153"/>
    <d v="2026-01-31T00:00:00"/>
    <s v="Customer 153"/>
    <x v="0"/>
    <x v="0"/>
    <x v="0"/>
    <n v="5"/>
    <n v="2499"/>
    <n v="15"/>
    <x v="2"/>
    <x v="2"/>
    <s v="Saket"/>
    <n v="10620.75"/>
    <x v="1"/>
  </r>
  <r>
    <s v="ORD1154"/>
    <d v="2026-01-27T00:00:00"/>
    <s v="Customer 154"/>
    <x v="0"/>
    <x v="0"/>
    <x v="16"/>
    <n v="3"/>
    <n v="1999"/>
    <n v="15"/>
    <x v="3"/>
    <x v="2"/>
    <s v="Dwarka"/>
    <n v="5097.45"/>
    <x v="1"/>
  </r>
  <r>
    <s v="ORD1155"/>
    <d v="2026-03-21T00:00:00"/>
    <s v="Customer 155"/>
    <x v="0"/>
    <x v="4"/>
    <x v="17"/>
    <n v="4"/>
    <n v="2499"/>
    <n v="5"/>
    <x v="0"/>
    <x v="2"/>
    <s v="Saket"/>
    <n v="9496.1999999999989"/>
    <x v="6"/>
  </r>
  <r>
    <s v="ORD1156"/>
    <d v="2026-04-26T00:00:00"/>
    <s v="Customer 156"/>
    <x v="6"/>
    <x v="0"/>
    <x v="8"/>
    <n v="4"/>
    <n v="699"/>
    <n v="15"/>
    <x v="2"/>
    <x v="1"/>
    <s v="Navrangpura"/>
    <n v="2376.6"/>
    <x v="0"/>
  </r>
  <r>
    <s v="ORD1157"/>
    <d v="2026-04-03T00:00:00"/>
    <s v="Customer 157"/>
    <x v="1"/>
    <x v="0"/>
    <x v="9"/>
    <n v="3"/>
    <n v="1299"/>
    <n v="20"/>
    <x v="3"/>
    <x v="2"/>
    <s v="Mansarovar"/>
    <n v="3117.6000000000004"/>
    <x v="0"/>
  </r>
  <r>
    <s v="ORD1158"/>
    <d v="2026-07-25T00:00:00"/>
    <s v="Customer 158"/>
    <x v="6"/>
    <x v="2"/>
    <x v="19"/>
    <n v="1"/>
    <n v="3299"/>
    <n v="5"/>
    <x v="0"/>
    <x v="3"/>
    <s v="Navrangpura"/>
    <n v="3134.0499999999997"/>
    <x v="7"/>
  </r>
  <r>
    <s v="ORD1159"/>
    <d v="2026-06-24T00:00:00"/>
    <s v="Customer 159"/>
    <x v="3"/>
    <x v="1"/>
    <x v="22"/>
    <n v="2"/>
    <n v="1899"/>
    <n v="10"/>
    <x v="3"/>
    <x v="0"/>
    <s v="Indiranagar"/>
    <n v="3418.2000000000003"/>
    <x v="4"/>
  </r>
  <r>
    <s v="ORD1160"/>
    <d v="2026-01-27T00:00:00"/>
    <s v="Customer 160"/>
    <x v="6"/>
    <x v="4"/>
    <x v="18"/>
    <n v="2"/>
    <n v="899"/>
    <n v="5"/>
    <x v="2"/>
    <x v="3"/>
    <s v="Bopal"/>
    <n v="1708.1"/>
    <x v="1"/>
  </r>
  <r>
    <s v="ORD1161"/>
    <d v="2026-09-06T00:00:00"/>
    <s v="Customer 161"/>
    <x v="0"/>
    <x v="1"/>
    <x v="22"/>
    <n v="5"/>
    <n v="1899"/>
    <n v="10"/>
    <x v="4"/>
    <x v="2"/>
    <s v="Dwarka"/>
    <n v="8545.5"/>
    <x v="8"/>
  </r>
  <r>
    <s v="ORD1162"/>
    <d v="2026-08-09T00:00:00"/>
    <s v="Customer 162"/>
    <x v="3"/>
    <x v="3"/>
    <x v="4"/>
    <n v="1"/>
    <n v="1199"/>
    <n v="10"/>
    <x v="2"/>
    <x v="5"/>
    <s v="HSR Layout"/>
    <n v="1079.1000000000001"/>
    <x v="2"/>
  </r>
  <r>
    <s v="ORD1163"/>
    <d v="2026-01-29T00:00:00"/>
    <s v="Customer 163"/>
    <x v="5"/>
    <x v="2"/>
    <x v="21"/>
    <n v="1"/>
    <n v="2799"/>
    <n v="5"/>
    <x v="3"/>
    <x v="4"/>
    <s v="Hinjewadi"/>
    <n v="2659.0499999999997"/>
    <x v="1"/>
  </r>
  <r>
    <s v="ORD1164"/>
    <d v="2026-03-03T00:00:00"/>
    <s v="Customer 164"/>
    <x v="7"/>
    <x v="0"/>
    <x v="14"/>
    <n v="1"/>
    <n v="1799"/>
    <n v="10"/>
    <x v="4"/>
    <x v="4"/>
    <s v="Borivali"/>
    <n v="1619.1000000000001"/>
    <x v="6"/>
  </r>
  <r>
    <s v="ORD1165"/>
    <d v="2026-09-14T00:00:00"/>
    <s v="Customer 165"/>
    <x v="7"/>
    <x v="4"/>
    <x v="17"/>
    <n v="5"/>
    <n v="2499"/>
    <n v="20"/>
    <x v="3"/>
    <x v="3"/>
    <s v="Borivali"/>
    <n v="9996"/>
    <x v="8"/>
  </r>
  <r>
    <s v="ORD1166"/>
    <d v="2026-01-10T00:00:00"/>
    <s v="Customer 166"/>
    <x v="4"/>
    <x v="3"/>
    <x v="5"/>
    <n v="4"/>
    <n v="1299"/>
    <n v="0"/>
    <x v="3"/>
    <x v="1"/>
    <s v="Gachibowli"/>
    <n v="5196"/>
    <x v="1"/>
  </r>
  <r>
    <s v="ORD1167"/>
    <d v="2026-05-29T00:00:00"/>
    <s v="Customer 167"/>
    <x v="4"/>
    <x v="1"/>
    <x v="22"/>
    <n v="1"/>
    <n v="1899"/>
    <n v="10"/>
    <x v="0"/>
    <x v="2"/>
    <s v="Gachibowli"/>
    <n v="1709.1000000000001"/>
    <x v="3"/>
  </r>
  <r>
    <s v="ORD1168"/>
    <d v="2026-02-15T00:00:00"/>
    <s v="Customer 168"/>
    <x v="7"/>
    <x v="1"/>
    <x v="3"/>
    <n v="4"/>
    <n v="1499"/>
    <n v="0"/>
    <x v="1"/>
    <x v="5"/>
    <s v="Thane"/>
    <n v="5996"/>
    <x v="5"/>
  </r>
  <r>
    <s v="ORD1169"/>
    <d v="2026-06-08T00:00:00"/>
    <s v="Customer 169"/>
    <x v="4"/>
    <x v="3"/>
    <x v="5"/>
    <n v="3"/>
    <n v="1299"/>
    <n v="5"/>
    <x v="3"/>
    <x v="4"/>
    <s v="Gachibowli"/>
    <n v="3702.1499999999996"/>
    <x v="4"/>
  </r>
  <r>
    <s v="ORD1170"/>
    <d v="2026-09-19T00:00:00"/>
    <s v="Customer 170"/>
    <x v="0"/>
    <x v="3"/>
    <x v="7"/>
    <n v="2"/>
    <n v="899"/>
    <n v="10"/>
    <x v="3"/>
    <x v="0"/>
    <s v="Saket"/>
    <n v="1618.2"/>
    <x v="8"/>
  </r>
  <r>
    <s v="ORD1171"/>
    <d v="2026-05-12T00:00:00"/>
    <s v="Customer 171"/>
    <x v="7"/>
    <x v="3"/>
    <x v="24"/>
    <n v="2"/>
    <n v="1499"/>
    <n v="5"/>
    <x v="2"/>
    <x v="4"/>
    <s v="Andheri"/>
    <n v="2848.1"/>
    <x v="3"/>
  </r>
  <r>
    <s v="ORD1172"/>
    <d v="2026-08-18T00:00:00"/>
    <s v="Customer 172"/>
    <x v="0"/>
    <x v="1"/>
    <x v="22"/>
    <n v="5"/>
    <n v="1899"/>
    <n v="20"/>
    <x v="2"/>
    <x v="2"/>
    <s v="Rohini"/>
    <n v="7596"/>
    <x v="2"/>
  </r>
  <r>
    <s v="ORD1173"/>
    <d v="2026-08-29T00:00:00"/>
    <s v="Customer 173"/>
    <x v="6"/>
    <x v="1"/>
    <x v="1"/>
    <n v="4"/>
    <n v="399"/>
    <n v="20"/>
    <x v="3"/>
    <x v="2"/>
    <s v="Navrangpura"/>
    <n v="1276.8000000000002"/>
    <x v="2"/>
  </r>
  <r>
    <s v="ORD1174"/>
    <d v="2026-06-08T00:00:00"/>
    <s v="Customer 174"/>
    <x v="1"/>
    <x v="4"/>
    <x v="18"/>
    <n v="4"/>
    <n v="899"/>
    <n v="10"/>
    <x v="0"/>
    <x v="3"/>
    <s v="Vaishali Nagar"/>
    <n v="3236.4"/>
    <x v="4"/>
  </r>
  <r>
    <s v="ORD1175"/>
    <d v="2026-09-17T00:00:00"/>
    <s v="Customer 175"/>
    <x v="6"/>
    <x v="3"/>
    <x v="6"/>
    <n v="4"/>
    <n v="799"/>
    <n v="10"/>
    <x v="2"/>
    <x v="1"/>
    <s v="Satellite"/>
    <n v="2876.4"/>
    <x v="8"/>
  </r>
  <r>
    <s v="ORD1176"/>
    <d v="2026-06-14T00:00:00"/>
    <s v="Customer 176"/>
    <x v="1"/>
    <x v="4"/>
    <x v="17"/>
    <n v="5"/>
    <n v="2499"/>
    <n v="10"/>
    <x v="2"/>
    <x v="4"/>
    <s v="Vaishali Nagar"/>
    <n v="11245.5"/>
    <x v="4"/>
  </r>
  <r>
    <s v="ORD1177"/>
    <d v="2026-02-13T00:00:00"/>
    <s v="Customer 177"/>
    <x v="1"/>
    <x v="3"/>
    <x v="4"/>
    <n v="5"/>
    <n v="1199"/>
    <n v="20"/>
    <x v="1"/>
    <x v="3"/>
    <s v="Vaishali Nagar"/>
    <n v="4796"/>
    <x v="5"/>
  </r>
  <r>
    <s v="ORD1178"/>
    <d v="2026-09-26T00:00:00"/>
    <s v="Customer 178"/>
    <x v="3"/>
    <x v="1"/>
    <x v="22"/>
    <n v="5"/>
    <n v="1899"/>
    <n v="15"/>
    <x v="1"/>
    <x v="2"/>
    <s v="HSR Layout"/>
    <n v="8070.75"/>
    <x v="8"/>
  </r>
  <r>
    <s v="ORD1179"/>
    <d v="2026-06-23T00:00:00"/>
    <s v="Customer 179"/>
    <x v="6"/>
    <x v="1"/>
    <x v="22"/>
    <n v="5"/>
    <n v="1899"/>
    <n v="0"/>
    <x v="3"/>
    <x v="3"/>
    <s v="Satellite"/>
    <n v="9495"/>
    <x v="4"/>
  </r>
  <r>
    <s v="ORD1180"/>
    <d v="2026-05-26T00:00:00"/>
    <s v="Customer 180"/>
    <x v="6"/>
    <x v="4"/>
    <x v="11"/>
    <n v="3"/>
    <n v="1999"/>
    <n v="20"/>
    <x v="2"/>
    <x v="4"/>
    <s v="Navrangpura"/>
    <n v="4797.6000000000004"/>
    <x v="3"/>
  </r>
  <r>
    <s v="ORD1181"/>
    <d v="2026-06-29T00:00:00"/>
    <s v="Customer 181"/>
    <x v="6"/>
    <x v="4"/>
    <x v="17"/>
    <n v="3"/>
    <n v="2499"/>
    <n v="20"/>
    <x v="4"/>
    <x v="4"/>
    <s v="Navrangpura"/>
    <n v="5997.6"/>
    <x v="4"/>
  </r>
  <r>
    <s v="ORD1182"/>
    <d v="2026-06-18T00:00:00"/>
    <s v="Customer 182"/>
    <x v="0"/>
    <x v="4"/>
    <x v="11"/>
    <n v="2"/>
    <n v="1999"/>
    <n v="20"/>
    <x v="2"/>
    <x v="3"/>
    <s v="Dwarka"/>
    <n v="3198.4"/>
    <x v="4"/>
  </r>
  <r>
    <s v="ORD1183"/>
    <d v="2026-07-05T00:00:00"/>
    <s v="Customer 183"/>
    <x v="4"/>
    <x v="0"/>
    <x v="9"/>
    <n v="3"/>
    <n v="1299"/>
    <n v="5"/>
    <x v="1"/>
    <x v="2"/>
    <s v="Gachibowli"/>
    <n v="3702.1499999999996"/>
    <x v="7"/>
  </r>
  <r>
    <s v="ORD1184"/>
    <d v="2026-03-21T00:00:00"/>
    <s v="Customer 184"/>
    <x v="2"/>
    <x v="2"/>
    <x v="19"/>
    <n v="1"/>
    <n v="3299"/>
    <n v="10"/>
    <x v="0"/>
    <x v="1"/>
    <s v="Salt Lake"/>
    <n v="2969.1"/>
    <x v="6"/>
  </r>
  <r>
    <s v="ORD1185"/>
    <d v="2026-03-09T00:00:00"/>
    <s v="Customer 185"/>
    <x v="1"/>
    <x v="0"/>
    <x v="8"/>
    <n v="5"/>
    <n v="699"/>
    <n v="10"/>
    <x v="1"/>
    <x v="4"/>
    <s v="Mansarovar"/>
    <n v="3145.5"/>
    <x v="6"/>
  </r>
  <r>
    <s v="ORD1186"/>
    <d v="2026-08-13T00:00:00"/>
    <s v="Customer 186"/>
    <x v="7"/>
    <x v="4"/>
    <x v="17"/>
    <n v="1"/>
    <n v="2499"/>
    <n v="10"/>
    <x v="3"/>
    <x v="0"/>
    <s v="Thane"/>
    <n v="2249.1"/>
    <x v="2"/>
  </r>
  <r>
    <s v="ORD1187"/>
    <d v="2026-08-18T00:00:00"/>
    <s v="Customer 187"/>
    <x v="3"/>
    <x v="4"/>
    <x v="13"/>
    <n v="2"/>
    <n v="999"/>
    <n v="15"/>
    <x v="1"/>
    <x v="2"/>
    <s v="Indiranagar"/>
    <n v="1698.3"/>
    <x v="2"/>
  </r>
  <r>
    <s v="ORD1188"/>
    <d v="2026-08-14T00:00:00"/>
    <s v="Customer 188"/>
    <x v="2"/>
    <x v="0"/>
    <x v="8"/>
    <n v="4"/>
    <n v="699"/>
    <n v="10"/>
    <x v="4"/>
    <x v="1"/>
    <s v="Salt Lake"/>
    <n v="2516.4"/>
    <x v="2"/>
  </r>
  <r>
    <s v="ORD1189"/>
    <d v="2026-03-12T00:00:00"/>
    <s v="Customer 189"/>
    <x v="4"/>
    <x v="2"/>
    <x v="2"/>
    <n v="3"/>
    <n v="999"/>
    <n v="0"/>
    <x v="4"/>
    <x v="2"/>
    <s v="Madhapur"/>
    <n v="2997"/>
    <x v="6"/>
  </r>
  <r>
    <s v="ORD1190"/>
    <d v="2026-05-26T00:00:00"/>
    <s v="Customer 190"/>
    <x v="0"/>
    <x v="4"/>
    <x v="18"/>
    <n v="1"/>
    <n v="899"/>
    <n v="5"/>
    <x v="3"/>
    <x v="5"/>
    <s v="Saket"/>
    <n v="854.05"/>
    <x v="3"/>
  </r>
  <r>
    <s v="ORD1191"/>
    <d v="2026-08-19T00:00:00"/>
    <s v="Customer 191"/>
    <x v="7"/>
    <x v="3"/>
    <x v="24"/>
    <n v="3"/>
    <n v="1499"/>
    <n v="0"/>
    <x v="4"/>
    <x v="3"/>
    <s v="Borivali"/>
    <n v="4497"/>
    <x v="2"/>
  </r>
  <r>
    <s v="ORD1192"/>
    <d v="2026-07-17T00:00:00"/>
    <s v="Customer 192"/>
    <x v="4"/>
    <x v="0"/>
    <x v="0"/>
    <n v="1"/>
    <n v="2499"/>
    <n v="10"/>
    <x v="1"/>
    <x v="3"/>
    <s v="Gachibowli"/>
    <n v="2249.1"/>
    <x v="7"/>
  </r>
  <r>
    <s v="ORD1193"/>
    <d v="2026-03-12T00:00:00"/>
    <s v="Customer 193"/>
    <x v="6"/>
    <x v="0"/>
    <x v="0"/>
    <n v="1"/>
    <n v="2499"/>
    <n v="10"/>
    <x v="4"/>
    <x v="0"/>
    <s v="Navrangpura"/>
    <n v="2249.1"/>
    <x v="6"/>
  </r>
  <r>
    <s v="ORD1194"/>
    <d v="2026-01-03T00:00:00"/>
    <s v="Customer 194"/>
    <x v="7"/>
    <x v="1"/>
    <x v="22"/>
    <n v="1"/>
    <n v="1899"/>
    <n v="0"/>
    <x v="3"/>
    <x v="4"/>
    <s v="Thane"/>
    <n v="1899"/>
    <x v="1"/>
  </r>
  <r>
    <s v="ORD1195"/>
    <d v="2026-08-05T00:00:00"/>
    <s v="Customer 195"/>
    <x v="7"/>
    <x v="4"/>
    <x v="15"/>
    <n v="1"/>
    <n v="2899"/>
    <n v="10"/>
    <x v="1"/>
    <x v="2"/>
    <s v="Thane"/>
    <n v="2609.1"/>
    <x v="2"/>
  </r>
  <r>
    <s v="ORD1196"/>
    <d v="2026-08-23T00:00:00"/>
    <s v="Customer 196"/>
    <x v="0"/>
    <x v="2"/>
    <x v="21"/>
    <n v="1"/>
    <n v="2799"/>
    <n v="0"/>
    <x v="4"/>
    <x v="1"/>
    <s v="Rohini"/>
    <n v="2799"/>
    <x v="2"/>
  </r>
  <r>
    <s v="ORD1197"/>
    <d v="2026-05-04T00:00:00"/>
    <s v="Customer 197"/>
    <x v="1"/>
    <x v="4"/>
    <x v="15"/>
    <n v="2"/>
    <n v="2899"/>
    <n v="10"/>
    <x v="4"/>
    <x v="3"/>
    <s v="Mansarovar"/>
    <n v="5218.2"/>
    <x v="3"/>
  </r>
  <r>
    <s v="ORD1198"/>
    <d v="2026-04-06T00:00:00"/>
    <s v="Customer 198"/>
    <x v="6"/>
    <x v="4"/>
    <x v="11"/>
    <n v="1"/>
    <n v="1999"/>
    <n v="15"/>
    <x v="3"/>
    <x v="3"/>
    <s v="Navrangpura"/>
    <n v="1699.1499999999999"/>
    <x v="0"/>
  </r>
  <r>
    <s v="ORD1199"/>
    <d v="2026-07-18T00:00:00"/>
    <s v="Customer 199"/>
    <x v="1"/>
    <x v="1"/>
    <x v="1"/>
    <n v="3"/>
    <n v="399"/>
    <n v="10"/>
    <x v="0"/>
    <x v="2"/>
    <s v="Vaishali Nagar"/>
    <n v="1077.3"/>
    <x v="7"/>
  </r>
  <r>
    <s v="ORD1200"/>
    <d v="2026-06-20T00:00:00"/>
    <s v="Customer 200"/>
    <x v="0"/>
    <x v="2"/>
    <x v="20"/>
    <n v="2"/>
    <n v="1599"/>
    <n v="0"/>
    <x v="3"/>
    <x v="1"/>
    <s v="Dwarka"/>
    <n v="3198"/>
    <x v="4"/>
  </r>
  <r>
    <s v="ORD1201"/>
    <d v="2026-09-03T00:00:00"/>
    <s v="Customer 201"/>
    <x v="6"/>
    <x v="2"/>
    <x v="21"/>
    <n v="2"/>
    <n v="2799"/>
    <n v="5"/>
    <x v="0"/>
    <x v="0"/>
    <s v="Bopal"/>
    <n v="5318.0999999999995"/>
    <x v="8"/>
  </r>
  <r>
    <s v="ORD1202"/>
    <d v="2026-01-23T00:00:00"/>
    <s v="Customer 202"/>
    <x v="2"/>
    <x v="0"/>
    <x v="0"/>
    <n v="2"/>
    <n v="2499"/>
    <n v="0"/>
    <x v="3"/>
    <x v="2"/>
    <s v="Salt Lake"/>
    <n v="4998"/>
    <x v="1"/>
  </r>
  <r>
    <s v="ORD1203"/>
    <d v="2026-01-19T00:00:00"/>
    <s v="Customer 203"/>
    <x v="4"/>
    <x v="1"/>
    <x v="3"/>
    <n v="2"/>
    <n v="1499"/>
    <n v="10"/>
    <x v="3"/>
    <x v="3"/>
    <s v="Gachibowli"/>
    <n v="2698.2000000000003"/>
    <x v="1"/>
  </r>
  <r>
    <s v="ORD1204"/>
    <d v="2026-08-12T00:00:00"/>
    <s v="Customer 204"/>
    <x v="6"/>
    <x v="3"/>
    <x v="4"/>
    <n v="4"/>
    <n v="1199"/>
    <n v="20"/>
    <x v="4"/>
    <x v="5"/>
    <s v="Satellite"/>
    <n v="3836.8"/>
    <x v="2"/>
  </r>
  <r>
    <s v="ORD1205"/>
    <d v="2026-07-08T00:00:00"/>
    <s v="Customer 205"/>
    <x v="6"/>
    <x v="1"/>
    <x v="22"/>
    <n v="5"/>
    <n v="1899"/>
    <n v="10"/>
    <x v="0"/>
    <x v="0"/>
    <s v="Navrangpura"/>
    <n v="8545.5"/>
    <x v="7"/>
  </r>
  <r>
    <s v="ORD1206"/>
    <d v="2026-04-03T00:00:00"/>
    <s v="Customer 206"/>
    <x v="4"/>
    <x v="1"/>
    <x v="12"/>
    <n v="5"/>
    <n v="2199"/>
    <n v="10"/>
    <x v="3"/>
    <x v="3"/>
    <s v="Madhapur"/>
    <n v="9895.5"/>
    <x v="0"/>
  </r>
  <r>
    <s v="ORD1207"/>
    <d v="2026-08-17T00:00:00"/>
    <s v="Customer 207"/>
    <x v="0"/>
    <x v="0"/>
    <x v="14"/>
    <n v="5"/>
    <n v="1799"/>
    <n v="20"/>
    <x v="4"/>
    <x v="4"/>
    <s v="Dwarka"/>
    <n v="7196"/>
    <x v="2"/>
  </r>
  <r>
    <s v="ORD1208"/>
    <d v="2026-06-30T00:00:00"/>
    <s v="Customer 208"/>
    <x v="2"/>
    <x v="1"/>
    <x v="1"/>
    <n v="5"/>
    <n v="399"/>
    <n v="10"/>
    <x v="3"/>
    <x v="0"/>
    <s v="New Town"/>
    <n v="1795.5"/>
    <x v="4"/>
  </r>
  <r>
    <s v="ORD1209"/>
    <d v="2026-09-20T00:00:00"/>
    <s v="Customer 209"/>
    <x v="1"/>
    <x v="1"/>
    <x v="3"/>
    <n v="2"/>
    <n v="1499"/>
    <n v="0"/>
    <x v="1"/>
    <x v="1"/>
    <s v="Malviya Nagar"/>
    <n v="2998"/>
    <x v="8"/>
  </r>
  <r>
    <s v="ORD1210"/>
    <d v="2026-05-01T00:00:00"/>
    <s v="Customer 210"/>
    <x v="2"/>
    <x v="2"/>
    <x v="20"/>
    <n v="3"/>
    <n v="1599"/>
    <n v="10"/>
    <x v="4"/>
    <x v="1"/>
    <s v="Salt Lake"/>
    <n v="4317.3"/>
    <x v="3"/>
  </r>
  <r>
    <s v="ORD1211"/>
    <d v="2026-07-09T00:00:00"/>
    <s v="Customer 211"/>
    <x v="1"/>
    <x v="2"/>
    <x v="21"/>
    <n v="3"/>
    <n v="2799"/>
    <n v="10"/>
    <x v="0"/>
    <x v="1"/>
    <s v="Mansarovar"/>
    <n v="7557.3"/>
    <x v="7"/>
  </r>
  <r>
    <s v="ORD1212"/>
    <d v="2026-06-10T00:00:00"/>
    <s v="Customer 212"/>
    <x v="7"/>
    <x v="0"/>
    <x v="16"/>
    <n v="3"/>
    <n v="1999"/>
    <n v="5"/>
    <x v="0"/>
    <x v="3"/>
    <s v="Thane"/>
    <n v="5697.15"/>
    <x v="4"/>
  </r>
  <r>
    <s v="ORD1213"/>
    <d v="2026-03-02T00:00:00"/>
    <s v="Customer 213"/>
    <x v="7"/>
    <x v="4"/>
    <x v="11"/>
    <n v="3"/>
    <n v="1999"/>
    <n v="10"/>
    <x v="4"/>
    <x v="4"/>
    <s v="Borivali"/>
    <n v="5397.3"/>
    <x v="6"/>
  </r>
  <r>
    <s v="ORD1214"/>
    <d v="2026-03-04T00:00:00"/>
    <s v="Customer 214"/>
    <x v="5"/>
    <x v="1"/>
    <x v="10"/>
    <n v="2"/>
    <n v="599"/>
    <n v="0"/>
    <x v="4"/>
    <x v="4"/>
    <s v="Viman Nagar"/>
    <n v="1198"/>
    <x v="6"/>
  </r>
  <r>
    <s v="ORD1215"/>
    <d v="2026-02-03T00:00:00"/>
    <s v="Customer 215"/>
    <x v="2"/>
    <x v="0"/>
    <x v="14"/>
    <n v="5"/>
    <n v="1799"/>
    <n v="15"/>
    <x v="3"/>
    <x v="2"/>
    <s v="Salt Lake"/>
    <n v="7645.75"/>
    <x v="5"/>
  </r>
  <r>
    <s v="ORD1216"/>
    <d v="2026-09-18T00:00:00"/>
    <s v="Customer 216"/>
    <x v="7"/>
    <x v="2"/>
    <x v="23"/>
    <n v="2"/>
    <n v="4999"/>
    <n v="0"/>
    <x v="1"/>
    <x v="4"/>
    <s v="Thane"/>
    <n v="9998"/>
    <x v="8"/>
  </r>
  <r>
    <s v="ORD1217"/>
    <d v="2026-07-08T00:00:00"/>
    <s v="Customer 217"/>
    <x v="3"/>
    <x v="3"/>
    <x v="4"/>
    <n v="4"/>
    <n v="1199"/>
    <n v="15"/>
    <x v="1"/>
    <x v="1"/>
    <s v="Indiranagar"/>
    <n v="4076.6"/>
    <x v="7"/>
  </r>
  <r>
    <s v="ORD1218"/>
    <d v="2026-09-03T00:00:00"/>
    <s v="Customer 218"/>
    <x v="0"/>
    <x v="0"/>
    <x v="16"/>
    <n v="5"/>
    <n v="1999"/>
    <n v="10"/>
    <x v="4"/>
    <x v="1"/>
    <s v="Rohini"/>
    <n v="8995.5"/>
    <x v="8"/>
  </r>
  <r>
    <s v="ORD1219"/>
    <d v="2026-08-19T00:00:00"/>
    <s v="Customer 219"/>
    <x v="0"/>
    <x v="0"/>
    <x v="9"/>
    <n v="4"/>
    <n v="1299"/>
    <n v="20"/>
    <x v="2"/>
    <x v="2"/>
    <s v="Rohini"/>
    <n v="4156.8"/>
    <x v="2"/>
  </r>
  <r>
    <s v="ORD1220"/>
    <d v="2026-03-08T00:00:00"/>
    <s v="Customer 220"/>
    <x v="7"/>
    <x v="4"/>
    <x v="17"/>
    <n v="4"/>
    <n v="2499"/>
    <n v="15"/>
    <x v="0"/>
    <x v="3"/>
    <s v="Thane"/>
    <n v="8496.6"/>
    <x v="6"/>
  </r>
  <r>
    <s v="ORD1221"/>
    <d v="2026-06-15T00:00:00"/>
    <s v="Customer 221"/>
    <x v="7"/>
    <x v="2"/>
    <x v="19"/>
    <n v="2"/>
    <n v="3299"/>
    <n v="10"/>
    <x v="2"/>
    <x v="2"/>
    <s v="Borivali"/>
    <n v="5938.2"/>
    <x v="4"/>
  </r>
  <r>
    <s v="ORD1222"/>
    <d v="2026-05-21T00:00:00"/>
    <s v="Customer 222"/>
    <x v="0"/>
    <x v="2"/>
    <x v="2"/>
    <n v="2"/>
    <n v="999"/>
    <n v="20"/>
    <x v="3"/>
    <x v="1"/>
    <s v="Dwarka"/>
    <n v="1598.4"/>
    <x v="3"/>
  </r>
  <r>
    <s v="ORD1223"/>
    <d v="2026-03-20T00:00:00"/>
    <s v="Customer 223"/>
    <x v="0"/>
    <x v="2"/>
    <x v="2"/>
    <n v="2"/>
    <n v="999"/>
    <n v="20"/>
    <x v="2"/>
    <x v="0"/>
    <s v="Saket"/>
    <n v="1598.4"/>
    <x v="6"/>
  </r>
  <r>
    <s v="ORD1224"/>
    <d v="2026-02-11T00:00:00"/>
    <s v="Customer 224"/>
    <x v="6"/>
    <x v="3"/>
    <x v="6"/>
    <n v="1"/>
    <n v="799"/>
    <n v="20"/>
    <x v="2"/>
    <x v="2"/>
    <s v="Bopal"/>
    <n v="639.20000000000005"/>
    <x v="5"/>
  </r>
  <r>
    <s v="ORD1225"/>
    <d v="2026-01-16T00:00:00"/>
    <s v="Customer 225"/>
    <x v="3"/>
    <x v="1"/>
    <x v="12"/>
    <n v="4"/>
    <n v="2199"/>
    <n v="20"/>
    <x v="2"/>
    <x v="2"/>
    <s v="HSR Layout"/>
    <n v="7036.8"/>
    <x v="1"/>
  </r>
  <r>
    <s v="ORD1226"/>
    <d v="2026-06-02T00:00:00"/>
    <s v="Customer 226"/>
    <x v="5"/>
    <x v="2"/>
    <x v="21"/>
    <n v="4"/>
    <n v="2799"/>
    <n v="0"/>
    <x v="0"/>
    <x v="4"/>
    <s v="Kothrud"/>
    <n v="11196"/>
    <x v="4"/>
  </r>
  <r>
    <s v="ORD1227"/>
    <d v="2026-04-15T00:00:00"/>
    <s v="Customer 227"/>
    <x v="2"/>
    <x v="1"/>
    <x v="22"/>
    <n v="3"/>
    <n v="1899"/>
    <n v="15"/>
    <x v="1"/>
    <x v="2"/>
    <s v="New Town"/>
    <n v="4842.45"/>
    <x v="0"/>
  </r>
  <r>
    <s v="ORD1228"/>
    <d v="2026-03-08T00:00:00"/>
    <s v="Customer 228"/>
    <x v="6"/>
    <x v="0"/>
    <x v="16"/>
    <n v="3"/>
    <n v="1999"/>
    <n v="15"/>
    <x v="2"/>
    <x v="3"/>
    <s v="Bopal"/>
    <n v="5097.45"/>
    <x v="6"/>
  </r>
  <r>
    <s v="ORD1229"/>
    <d v="2026-05-17T00:00:00"/>
    <s v="Customer 229"/>
    <x v="6"/>
    <x v="1"/>
    <x v="1"/>
    <n v="4"/>
    <n v="399"/>
    <n v="5"/>
    <x v="1"/>
    <x v="3"/>
    <s v="Navrangpura"/>
    <n v="1516.1999999999998"/>
    <x v="3"/>
  </r>
  <r>
    <s v="ORD1230"/>
    <d v="2026-08-03T00:00:00"/>
    <s v="Customer 230"/>
    <x v="1"/>
    <x v="1"/>
    <x v="12"/>
    <n v="2"/>
    <n v="2199"/>
    <n v="5"/>
    <x v="3"/>
    <x v="1"/>
    <s v="Vaishali Nagar"/>
    <n v="4178.0999999999995"/>
    <x v="2"/>
  </r>
  <r>
    <s v="ORD1231"/>
    <d v="2026-09-21T00:00:00"/>
    <s v="Customer 231"/>
    <x v="6"/>
    <x v="2"/>
    <x v="21"/>
    <n v="4"/>
    <n v="2799"/>
    <n v="10"/>
    <x v="3"/>
    <x v="5"/>
    <s v="Navrangpura"/>
    <n v="10076.4"/>
    <x v="8"/>
  </r>
  <r>
    <s v="ORD1232"/>
    <d v="2026-08-23T00:00:00"/>
    <s v="Customer 232"/>
    <x v="1"/>
    <x v="1"/>
    <x v="12"/>
    <n v="2"/>
    <n v="2199"/>
    <n v="5"/>
    <x v="2"/>
    <x v="2"/>
    <s v="Malviya Nagar"/>
    <n v="4178.0999999999995"/>
    <x v="2"/>
  </r>
  <r>
    <s v="ORD1233"/>
    <d v="2026-08-29T00:00:00"/>
    <s v="Customer 233"/>
    <x v="1"/>
    <x v="0"/>
    <x v="16"/>
    <n v="3"/>
    <n v="1999"/>
    <n v="15"/>
    <x v="0"/>
    <x v="3"/>
    <s v="Malviya Nagar"/>
    <n v="5097.45"/>
    <x v="2"/>
  </r>
  <r>
    <s v="ORD1234"/>
    <d v="2026-07-26T00:00:00"/>
    <s v="Customer 234"/>
    <x v="4"/>
    <x v="0"/>
    <x v="14"/>
    <n v="3"/>
    <n v="1799"/>
    <n v="0"/>
    <x v="4"/>
    <x v="3"/>
    <s v="Madhapur"/>
    <n v="5397"/>
    <x v="7"/>
  </r>
  <r>
    <s v="ORD1235"/>
    <d v="2026-02-07T00:00:00"/>
    <s v="Customer 235"/>
    <x v="3"/>
    <x v="4"/>
    <x v="13"/>
    <n v="4"/>
    <n v="999"/>
    <n v="15"/>
    <x v="4"/>
    <x v="1"/>
    <s v="Indiranagar"/>
    <n v="3396.6"/>
    <x v="5"/>
  </r>
  <r>
    <s v="ORD1236"/>
    <d v="2026-03-07T00:00:00"/>
    <s v="Customer 236"/>
    <x v="5"/>
    <x v="4"/>
    <x v="18"/>
    <n v="1"/>
    <n v="899"/>
    <n v="10"/>
    <x v="3"/>
    <x v="2"/>
    <s v="Viman Nagar"/>
    <n v="809.1"/>
    <x v="6"/>
  </r>
  <r>
    <s v="ORD1237"/>
    <d v="2026-09-18T00:00:00"/>
    <s v="Customer 237"/>
    <x v="6"/>
    <x v="2"/>
    <x v="2"/>
    <n v="4"/>
    <n v="999"/>
    <n v="15"/>
    <x v="0"/>
    <x v="3"/>
    <s v="Navrangpura"/>
    <n v="3396.6"/>
    <x v="8"/>
  </r>
  <r>
    <s v="ORD1238"/>
    <d v="2026-09-23T00:00:00"/>
    <s v="Customer 238"/>
    <x v="1"/>
    <x v="0"/>
    <x v="16"/>
    <n v="4"/>
    <n v="1999"/>
    <n v="5"/>
    <x v="2"/>
    <x v="1"/>
    <s v="Malviya Nagar"/>
    <n v="7596.2"/>
    <x v="8"/>
  </r>
  <r>
    <s v="ORD1239"/>
    <d v="2026-03-25T00:00:00"/>
    <s v="Customer 239"/>
    <x v="7"/>
    <x v="4"/>
    <x v="13"/>
    <n v="4"/>
    <n v="999"/>
    <n v="15"/>
    <x v="3"/>
    <x v="1"/>
    <s v="Borivali"/>
    <n v="3396.6"/>
    <x v="6"/>
  </r>
  <r>
    <s v="ORD1240"/>
    <d v="2026-09-08T00:00:00"/>
    <s v="Customer 240"/>
    <x v="6"/>
    <x v="4"/>
    <x v="15"/>
    <n v="5"/>
    <n v="2899"/>
    <n v="10"/>
    <x v="4"/>
    <x v="3"/>
    <s v="Bopal"/>
    <n v="13045.5"/>
    <x v="8"/>
  </r>
  <r>
    <s v="ORD1241"/>
    <d v="2026-06-07T00:00:00"/>
    <s v="Customer 241"/>
    <x v="6"/>
    <x v="3"/>
    <x v="5"/>
    <n v="1"/>
    <n v="1299"/>
    <n v="15"/>
    <x v="4"/>
    <x v="2"/>
    <s v="Satellite"/>
    <n v="1104.1499999999999"/>
    <x v="4"/>
  </r>
  <r>
    <s v="ORD1242"/>
    <d v="2026-09-03T00:00:00"/>
    <s v="Customer 242"/>
    <x v="3"/>
    <x v="3"/>
    <x v="7"/>
    <n v="2"/>
    <n v="899"/>
    <n v="15"/>
    <x v="2"/>
    <x v="5"/>
    <s v="HSR Layout"/>
    <n v="1528.3"/>
    <x v="8"/>
  </r>
  <r>
    <s v="ORD1243"/>
    <d v="2026-02-26T00:00:00"/>
    <s v="Customer 243"/>
    <x v="7"/>
    <x v="2"/>
    <x v="20"/>
    <n v="2"/>
    <n v="1599"/>
    <n v="0"/>
    <x v="4"/>
    <x v="2"/>
    <s v="Thane"/>
    <n v="3198"/>
    <x v="5"/>
  </r>
  <r>
    <s v="ORD1244"/>
    <d v="2026-07-30T00:00:00"/>
    <s v="Customer 244"/>
    <x v="4"/>
    <x v="1"/>
    <x v="10"/>
    <n v="5"/>
    <n v="599"/>
    <n v="15"/>
    <x v="4"/>
    <x v="0"/>
    <s v="Madhapur"/>
    <n v="2545.75"/>
    <x v="7"/>
  </r>
  <r>
    <s v="ORD1245"/>
    <d v="2026-04-17T00:00:00"/>
    <s v="Customer 245"/>
    <x v="1"/>
    <x v="2"/>
    <x v="2"/>
    <n v="5"/>
    <n v="999"/>
    <n v="10"/>
    <x v="4"/>
    <x v="1"/>
    <s v="Mansarovar"/>
    <n v="4495.5"/>
    <x v="0"/>
  </r>
  <r>
    <s v="ORD1246"/>
    <d v="2026-09-30T00:00:00"/>
    <s v="Customer 246"/>
    <x v="4"/>
    <x v="2"/>
    <x v="21"/>
    <n v="3"/>
    <n v="2799"/>
    <n v="15"/>
    <x v="3"/>
    <x v="0"/>
    <s v="Kukatpally"/>
    <n v="7137.45"/>
    <x v="8"/>
  </r>
  <r>
    <s v="ORD1247"/>
    <d v="2026-05-07T00:00:00"/>
    <s v="Customer 247"/>
    <x v="5"/>
    <x v="1"/>
    <x v="10"/>
    <n v="3"/>
    <n v="599"/>
    <n v="15"/>
    <x v="3"/>
    <x v="4"/>
    <s v="Viman Nagar"/>
    <n v="1527.45"/>
    <x v="3"/>
  </r>
  <r>
    <s v="ORD1248"/>
    <d v="2026-06-12T00:00:00"/>
    <s v="Customer 248"/>
    <x v="5"/>
    <x v="2"/>
    <x v="21"/>
    <n v="4"/>
    <n v="2799"/>
    <n v="10"/>
    <x v="2"/>
    <x v="0"/>
    <s v="Kothrud"/>
    <n v="10076.4"/>
    <x v="4"/>
  </r>
  <r>
    <s v="ORD1249"/>
    <d v="2026-07-14T00:00:00"/>
    <s v="Customer 249"/>
    <x v="5"/>
    <x v="3"/>
    <x v="7"/>
    <n v="4"/>
    <n v="899"/>
    <n v="10"/>
    <x v="1"/>
    <x v="2"/>
    <s v="Kothrud"/>
    <n v="3236.4"/>
    <x v="7"/>
  </r>
  <r>
    <s v="ORD1250"/>
    <d v="2026-08-15T00:00:00"/>
    <s v="Customer 250"/>
    <x v="1"/>
    <x v="3"/>
    <x v="4"/>
    <n v="3"/>
    <n v="1199"/>
    <n v="20"/>
    <x v="4"/>
    <x v="4"/>
    <s v="Vaishali Nagar"/>
    <n v="2877.600000000000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Product_Sales" cacheId="0"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chartFormat="3">
  <location ref="A25:B51" firstHeaderRow="1" firstDataRow="1" firstDataCol="1"/>
  <pivotFields count="14">
    <pivotField compact="0" outline="0" showAll="0"/>
    <pivotField compact="0" numFmtId="165" outline="0" showAll="0"/>
    <pivotField compact="0" outline="0" showAll="0"/>
    <pivotField compact="0" outline="0" showAll="0">
      <items count="9">
        <item x="6"/>
        <item x="3"/>
        <item x="0"/>
        <item x="4"/>
        <item x="1"/>
        <item x="2"/>
        <item x="7"/>
        <item x="5"/>
        <item t="default"/>
      </items>
    </pivotField>
    <pivotField compact="0" outline="0" showAll="0">
      <items count="6">
        <item x="1"/>
        <item x="3"/>
        <item x="0"/>
        <item x="2"/>
        <item x="4"/>
        <item t="default"/>
      </items>
    </pivotField>
    <pivotField axis="axisRow" compact="0" outline="0" showAll="0">
      <items count="26">
        <item x="23"/>
        <item x="14"/>
        <item x="24"/>
        <item x="9"/>
        <item x="21"/>
        <item x="8"/>
        <item x="17"/>
        <item x="16"/>
        <item x="11"/>
        <item x="20"/>
        <item x="1"/>
        <item x="13"/>
        <item x="22"/>
        <item x="4"/>
        <item x="19"/>
        <item x="10"/>
        <item x="3"/>
        <item x="5"/>
        <item x="0"/>
        <item x="12"/>
        <item x="2"/>
        <item x="15"/>
        <item x="7"/>
        <item x="6"/>
        <item x="18"/>
        <item t="default"/>
      </items>
    </pivotField>
    <pivotField compact="0" outline="0" showAll="0"/>
    <pivotField compact="0" numFmtId="164" outline="0" showAll="0"/>
    <pivotField compact="0" outline="0" showAll="0"/>
    <pivotField compact="0" outline="0" showAll="0">
      <items count="6">
        <item x="4"/>
        <item x="1"/>
        <item x="3"/>
        <item x="2"/>
        <item x="0"/>
        <item t="default"/>
      </items>
    </pivotField>
    <pivotField compact="0" outline="0" showAll="0">
      <items count="7">
        <item x="3"/>
        <item x="0"/>
        <item x="5"/>
        <item x="4"/>
        <item x="2"/>
        <item x="1"/>
        <item t="default"/>
      </items>
    </pivotField>
    <pivotField compact="0" outline="0" showAll="0"/>
    <pivotField dataField="1" compact="0" numFmtId="4" outline="0" showAll="0"/>
    <pivotField compact="0" numFmtId="166" outline="0" showAll="0">
      <items count="10">
        <item x="1"/>
        <item x="5"/>
        <item x="6"/>
        <item x="0"/>
        <item x="3"/>
        <item x="4"/>
        <item x="7"/>
        <item x="2"/>
        <item x="8"/>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pivotTableDefinition>
</file>

<file path=xl/pivotTables/pivotTable2.xml><?xml version="1.0" encoding="utf-8"?>
<pivotTableDefinition xmlns="http://schemas.openxmlformats.org/spreadsheetml/2006/main" name="PT_City_Sales" cacheId="0"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chartFormat="3">
  <location ref="O4:P13" firstHeaderRow="1" firstDataRow="1" firstDataCol="1"/>
  <pivotFields count="14">
    <pivotField compact="0" outline="0" showAll="0"/>
    <pivotField compact="0" numFmtId="165" outline="0" showAll="0"/>
    <pivotField compact="0" outline="0" showAll="0"/>
    <pivotField axis="axisRow" compact="0" outline="0" showAll="0">
      <items count="9">
        <item x="6"/>
        <item x="3"/>
        <item x="0"/>
        <item x="4"/>
        <item x="1"/>
        <item x="2"/>
        <item x="7"/>
        <item x="5"/>
        <item t="default"/>
      </items>
    </pivotField>
    <pivotField compact="0" outline="0" showAll="0">
      <items count="6">
        <item x="1"/>
        <item x="3"/>
        <item x="0"/>
        <item x="2"/>
        <item x="4"/>
        <item t="default"/>
      </items>
    </pivotField>
    <pivotField compact="0" outline="0" showAll="0">
      <items count="26">
        <item x="23"/>
        <item x="14"/>
        <item x="24"/>
        <item x="9"/>
        <item x="21"/>
        <item x="8"/>
        <item x="17"/>
        <item x="16"/>
        <item x="11"/>
        <item x="20"/>
        <item x="1"/>
        <item x="13"/>
        <item x="22"/>
        <item x="4"/>
        <item x="19"/>
        <item x="10"/>
        <item x="3"/>
        <item x="5"/>
        <item x="0"/>
        <item x="12"/>
        <item x="2"/>
        <item x="15"/>
        <item x="7"/>
        <item x="6"/>
        <item x="18"/>
        <item t="default"/>
      </items>
    </pivotField>
    <pivotField compact="0" outline="0" showAll="0"/>
    <pivotField compact="0" numFmtId="164" outline="0" showAll="0"/>
    <pivotField compact="0" outline="0" showAll="0"/>
    <pivotField compact="0" outline="0" showAll="0">
      <items count="6">
        <item x="4"/>
        <item x="1"/>
        <item x="3"/>
        <item x="2"/>
        <item x="0"/>
        <item t="default"/>
      </items>
    </pivotField>
    <pivotField compact="0" outline="0" showAll="0">
      <items count="7">
        <item x="3"/>
        <item x="0"/>
        <item x="5"/>
        <item x="4"/>
        <item x="2"/>
        <item x="1"/>
        <item t="default"/>
      </items>
    </pivotField>
    <pivotField compact="0" outline="0" showAll="0"/>
    <pivotField dataField="1" compact="0" numFmtId="4" outline="0" showAll="0"/>
    <pivotField compact="0" numFmtId="166" outline="0" showAll="0">
      <items count="10">
        <item x="1"/>
        <item x="5"/>
        <item x="6"/>
        <item x="0"/>
        <item x="3"/>
        <item x="4"/>
        <item x="7"/>
        <item x="2"/>
        <item x="8"/>
        <item t="default"/>
      </items>
    </pivotField>
  </pivotFields>
  <rowFields count="1">
    <field x="3"/>
  </rowFields>
  <rowItems count="9">
    <i>
      <x/>
    </i>
    <i>
      <x v="1"/>
    </i>
    <i>
      <x v="2"/>
    </i>
    <i>
      <x v="3"/>
    </i>
    <i>
      <x v="4"/>
    </i>
    <i>
      <x v="5"/>
    </i>
    <i>
      <x v="6"/>
    </i>
    <i>
      <x v="7"/>
    </i>
    <i t="grand">
      <x/>
    </i>
  </rowItems>
  <colItems count="1">
    <i/>
  </colItems>
  <dataFields count="1">
    <dataField name="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pivotTableDefinition>
</file>

<file path=xl/pivotTables/pivotTable3.xml><?xml version="1.0" encoding="utf-8"?>
<pivotTableDefinition xmlns="http://schemas.openxmlformats.org/spreadsheetml/2006/main" name="PT_Category_Sales" cacheId="0"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chartFormat="3">
  <location ref="H4:I10" firstHeaderRow="1" firstDataRow="1" firstDataCol="1"/>
  <pivotFields count="14">
    <pivotField compact="0" outline="0" showAll="0"/>
    <pivotField compact="0" numFmtId="165" outline="0" showAll="0"/>
    <pivotField compact="0" outline="0" showAll="0"/>
    <pivotField compact="0" outline="0" showAll="0">
      <items count="9">
        <item x="6"/>
        <item x="3"/>
        <item x="0"/>
        <item x="4"/>
        <item x="1"/>
        <item x="2"/>
        <item x="7"/>
        <item x="5"/>
        <item t="default"/>
      </items>
    </pivotField>
    <pivotField axis="axisRow" compact="0" outline="0" showAll="0">
      <items count="6">
        <item x="1"/>
        <item x="3"/>
        <item x="0"/>
        <item x="2"/>
        <item x="4"/>
        <item t="default"/>
      </items>
    </pivotField>
    <pivotField compact="0" outline="0" showAll="0">
      <items count="26">
        <item x="23"/>
        <item x="14"/>
        <item x="24"/>
        <item x="9"/>
        <item x="21"/>
        <item x="8"/>
        <item x="17"/>
        <item x="16"/>
        <item x="11"/>
        <item x="20"/>
        <item x="1"/>
        <item x="13"/>
        <item x="22"/>
        <item x="4"/>
        <item x="19"/>
        <item x="10"/>
        <item x="3"/>
        <item x="5"/>
        <item x="0"/>
        <item x="12"/>
        <item x="2"/>
        <item x="15"/>
        <item x="7"/>
        <item x="6"/>
        <item x="18"/>
        <item t="default"/>
      </items>
    </pivotField>
    <pivotField compact="0" outline="0" showAll="0"/>
    <pivotField compact="0" numFmtId="164" outline="0" showAll="0"/>
    <pivotField compact="0" outline="0" showAll="0"/>
    <pivotField compact="0" outline="0" showAll="0">
      <items count="6">
        <item x="4"/>
        <item x="1"/>
        <item x="3"/>
        <item x="2"/>
        <item x="0"/>
        <item t="default"/>
      </items>
    </pivotField>
    <pivotField compact="0" outline="0" showAll="0">
      <items count="7">
        <item x="3"/>
        <item x="0"/>
        <item x="5"/>
        <item x="4"/>
        <item x="2"/>
        <item x="1"/>
        <item t="default"/>
      </items>
    </pivotField>
    <pivotField compact="0" outline="0" showAll="0"/>
    <pivotField dataField="1" compact="0" numFmtId="4" outline="0" showAll="0"/>
    <pivotField compact="0" numFmtId="166" outline="0" showAll="0">
      <items count="10">
        <item x="1"/>
        <item x="5"/>
        <item x="6"/>
        <item x="0"/>
        <item x="3"/>
        <item x="4"/>
        <item x="7"/>
        <item x="2"/>
        <item x="8"/>
        <item t="default"/>
      </items>
    </pivotField>
  </pivotFields>
  <rowFields count="1">
    <field x="4"/>
  </rowFields>
  <rowItems count="6">
    <i>
      <x/>
    </i>
    <i>
      <x v="1"/>
    </i>
    <i>
      <x v="2"/>
    </i>
    <i>
      <x v="3"/>
    </i>
    <i>
      <x v="4"/>
    </i>
    <i t="grand">
      <x/>
    </i>
  </rowItems>
  <colItems count="1">
    <i/>
  </colItems>
  <dataFields count="1">
    <dataField name="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pivotTableDefinition>
</file>

<file path=xl/pivotTables/pivotTable4.xml><?xml version="1.0" encoding="utf-8"?>
<pivotTableDefinition xmlns="http://schemas.openxmlformats.org/spreadsheetml/2006/main" name="PT_KPI" cacheId="0"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location ref="AA4:AD6" firstHeaderRow="1" firstDataRow="2" firstDataCol="0"/>
  <pivotFields count="14">
    <pivotField dataField="1" compact="0" outline="0" showAll="0"/>
    <pivotField compact="0" numFmtId="165" outline="0" showAll="0"/>
    <pivotField compact="0" outline="0" showAll="0"/>
    <pivotField compact="0" outline="0" showAll="0">
      <items count="9">
        <item x="6"/>
        <item x="3"/>
        <item x="0"/>
        <item x="4"/>
        <item x="1"/>
        <item x="2"/>
        <item x="7"/>
        <item x="5"/>
        <item t="default"/>
      </items>
    </pivotField>
    <pivotField compact="0" outline="0" showAll="0">
      <items count="6">
        <item x="1"/>
        <item x="3"/>
        <item x="0"/>
        <item x="2"/>
        <item x="4"/>
        <item t="default"/>
      </items>
    </pivotField>
    <pivotField compact="0" outline="0" showAll="0">
      <items count="26">
        <item x="23"/>
        <item x="14"/>
        <item x="24"/>
        <item x="9"/>
        <item x="21"/>
        <item x="8"/>
        <item x="17"/>
        <item x="16"/>
        <item x="11"/>
        <item x="20"/>
        <item x="1"/>
        <item x="13"/>
        <item x="22"/>
        <item x="4"/>
        <item x="19"/>
        <item x="10"/>
        <item x="3"/>
        <item x="5"/>
        <item x="0"/>
        <item x="12"/>
        <item x="2"/>
        <item x="15"/>
        <item x="7"/>
        <item x="6"/>
        <item x="18"/>
        <item t="default"/>
      </items>
    </pivotField>
    <pivotField dataField="1" compact="0" outline="0" showAll="0"/>
    <pivotField compact="0" numFmtId="164" outline="0" showAll="0"/>
    <pivotField compact="0" outline="0" showAll="0"/>
    <pivotField compact="0" outline="0" showAll="0">
      <items count="6">
        <item x="4"/>
        <item x="1"/>
        <item x="3"/>
        <item x="2"/>
        <item x="0"/>
        <item t="default"/>
      </items>
    </pivotField>
    <pivotField compact="0" outline="0" showAll="0">
      <items count="7">
        <item x="3"/>
        <item x="0"/>
        <item x="5"/>
        <item x="4"/>
        <item x="2"/>
        <item x="1"/>
        <item t="default"/>
      </items>
    </pivotField>
    <pivotField compact="0" outline="0" showAll="0"/>
    <pivotField dataField="1" compact="0" numFmtId="4" outline="0" showAll="0"/>
    <pivotField compact="0" numFmtId="166" outline="0" showAll="0">
      <items count="10">
        <item x="1"/>
        <item x="5"/>
        <item x="6"/>
        <item x="0"/>
        <item x="3"/>
        <item x="4"/>
        <item x="7"/>
        <item x="2"/>
        <item x="8"/>
        <item t="default"/>
      </items>
    </pivotField>
  </pivotFields>
  <rowItems count="1">
    <i/>
  </rowItems>
  <colFields count="1">
    <field x="-2"/>
  </colFields>
  <colItems count="4">
    <i>
      <x/>
    </i>
    <i i="1">
      <x v="1"/>
    </i>
    <i i="2">
      <x v="2"/>
    </i>
    <i i="3">
      <x v="3"/>
    </i>
  </colItems>
  <dataFields count="4">
    <dataField name="Total Sales" fld="12" baseField="0" baseItem="0"/>
    <dataField name="Total Orders" fld="0" subtotal="count" baseField="0" baseItem="0"/>
    <dataField name="Total Quantity" fld="6" baseField="0" baseItem="0"/>
    <dataField name="Average Order Value" fld="12" subtotal="average" baseField="0" baseItem="0"/>
  </dataFields>
  <pivotTableStyleInfo name="PivotStyleMedium2" showRowHeaders="1" showColHeaders="1" showRowStripes="0" showColStripes="0" showLastColumn="1"/>
</pivotTableDefinition>
</file>

<file path=xl/pivotTables/pivotTable5.xml><?xml version="1.0" encoding="utf-8"?>
<pivotTableDefinition xmlns="http://schemas.openxmlformats.org/spreadsheetml/2006/main" name="PT_Salesperson_Sales" cacheId="0"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chartFormat="3">
  <location ref="O25:P32" firstHeaderRow="1" firstDataRow="1" firstDataCol="1"/>
  <pivotFields count="14">
    <pivotField compact="0" outline="0" showAll="0"/>
    <pivotField compact="0" numFmtId="165" outline="0" showAll="0"/>
    <pivotField compact="0" outline="0" showAll="0"/>
    <pivotField compact="0" outline="0" showAll="0">
      <items count="9">
        <item x="6"/>
        <item x="3"/>
        <item x="0"/>
        <item x="4"/>
        <item x="1"/>
        <item x="2"/>
        <item x="7"/>
        <item x="5"/>
        <item t="default"/>
      </items>
    </pivotField>
    <pivotField compact="0" outline="0" showAll="0">
      <items count="6">
        <item x="1"/>
        <item x="3"/>
        <item x="0"/>
        <item x="2"/>
        <item x="4"/>
        <item t="default"/>
      </items>
    </pivotField>
    <pivotField compact="0" outline="0" showAll="0">
      <items count="26">
        <item x="23"/>
        <item x="14"/>
        <item x="24"/>
        <item x="9"/>
        <item x="21"/>
        <item x="8"/>
        <item x="17"/>
        <item x="16"/>
        <item x="11"/>
        <item x="20"/>
        <item x="1"/>
        <item x="13"/>
        <item x="22"/>
        <item x="4"/>
        <item x="19"/>
        <item x="10"/>
        <item x="3"/>
        <item x="5"/>
        <item x="0"/>
        <item x="12"/>
        <item x="2"/>
        <item x="15"/>
        <item x="7"/>
        <item x="6"/>
        <item x="18"/>
        <item t="default"/>
      </items>
    </pivotField>
    <pivotField compact="0" outline="0" showAll="0"/>
    <pivotField compact="0" numFmtId="164" outline="0" showAll="0"/>
    <pivotField compact="0" outline="0" showAll="0"/>
    <pivotField compact="0" outline="0" showAll="0">
      <items count="6">
        <item x="4"/>
        <item x="1"/>
        <item x="3"/>
        <item x="2"/>
        <item x="0"/>
        <item t="default"/>
      </items>
    </pivotField>
    <pivotField axis="axisRow" compact="0" outline="0" showAll="0">
      <items count="7">
        <item x="3"/>
        <item x="0"/>
        <item x="5"/>
        <item x="4"/>
        <item x="2"/>
        <item x="1"/>
        <item t="default"/>
      </items>
    </pivotField>
    <pivotField compact="0" outline="0" showAll="0"/>
    <pivotField dataField="1" compact="0" numFmtId="4" outline="0" showAll="0"/>
    <pivotField compact="0" numFmtId="166" outline="0" showAll="0">
      <items count="10">
        <item x="1"/>
        <item x="5"/>
        <item x="6"/>
        <item x="0"/>
        <item x="3"/>
        <item x="4"/>
        <item x="7"/>
        <item x="2"/>
        <item x="8"/>
        <item t="default"/>
      </items>
    </pivotField>
  </pivotFields>
  <rowFields count="1">
    <field x="10"/>
  </rowFields>
  <rowItems count="7">
    <i>
      <x/>
    </i>
    <i>
      <x v="1"/>
    </i>
    <i>
      <x v="2"/>
    </i>
    <i>
      <x v="3"/>
    </i>
    <i>
      <x v="4"/>
    </i>
    <i>
      <x v="5"/>
    </i>
    <i t="grand">
      <x/>
    </i>
  </rowItems>
  <colItems count="1">
    <i/>
  </colItems>
  <dataFields count="1">
    <dataField name="Total Sales" fld="1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pivotTableDefinition>
</file>

<file path=xl/pivotTables/pivotTable6.xml><?xml version="1.0" encoding="utf-8"?>
<pivotTableDefinition xmlns="http://schemas.openxmlformats.org/spreadsheetml/2006/main" name="PT_Monthly_Sales" cacheId="0"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chartFormat="3">
  <location ref="A4:B14" firstHeaderRow="1" firstDataRow="1" firstDataCol="1"/>
  <pivotFields count="14">
    <pivotField compact="0" outline="0" showAll="0"/>
    <pivotField compact="0" numFmtId="165" outline="0" showAll="0"/>
    <pivotField compact="0" outline="0" showAll="0"/>
    <pivotField compact="0" outline="0" showAll="0">
      <items count="9">
        <item x="6"/>
        <item x="3"/>
        <item x="0"/>
        <item x="4"/>
        <item x="1"/>
        <item x="2"/>
        <item x="7"/>
        <item x="5"/>
        <item t="default"/>
      </items>
    </pivotField>
    <pivotField compact="0" outline="0" showAll="0">
      <items count="6">
        <item x="1"/>
        <item x="3"/>
        <item x="0"/>
        <item x="2"/>
        <item x="4"/>
        <item t="default"/>
      </items>
    </pivotField>
    <pivotField compact="0" outline="0" showAll="0">
      <items count="26">
        <item x="23"/>
        <item x="14"/>
        <item x="24"/>
        <item x="9"/>
        <item x="21"/>
        <item x="8"/>
        <item x="17"/>
        <item x="16"/>
        <item x="11"/>
        <item x="20"/>
        <item x="1"/>
        <item x="13"/>
        <item x="22"/>
        <item x="4"/>
        <item x="19"/>
        <item x="10"/>
        <item x="3"/>
        <item x="5"/>
        <item x="0"/>
        <item x="12"/>
        <item x="2"/>
        <item x="15"/>
        <item x="7"/>
        <item x="6"/>
        <item x="18"/>
        <item t="default"/>
      </items>
    </pivotField>
    <pivotField compact="0" outline="0" showAll="0"/>
    <pivotField compact="0" numFmtId="164" outline="0" showAll="0"/>
    <pivotField compact="0" outline="0" showAll="0"/>
    <pivotField compact="0" outline="0" showAll="0">
      <items count="6">
        <item x="4"/>
        <item x="1"/>
        <item x="3"/>
        <item x="2"/>
        <item x="0"/>
        <item t="default"/>
      </items>
    </pivotField>
    <pivotField compact="0" outline="0" showAll="0">
      <items count="7">
        <item x="3"/>
        <item x="0"/>
        <item x="5"/>
        <item x="4"/>
        <item x="2"/>
        <item x="1"/>
        <item t="default"/>
      </items>
    </pivotField>
    <pivotField compact="0" outline="0" showAll="0"/>
    <pivotField dataField="1" compact="0" numFmtId="4" outline="0" showAll="0"/>
    <pivotField axis="axisRow" compact="0" numFmtId="166" outline="0" showAll="0">
      <items count="10">
        <item x="1"/>
        <item x="5"/>
        <item x="6"/>
        <item x="0"/>
        <item x="3"/>
        <item x="4"/>
        <item x="7"/>
        <item x="2"/>
        <item x="8"/>
        <item t="default"/>
      </items>
    </pivotField>
  </pivotFields>
  <rowFields count="1">
    <field x="13"/>
  </rowFields>
  <rowItems count="10">
    <i>
      <x/>
    </i>
    <i>
      <x v="1"/>
    </i>
    <i>
      <x v="2"/>
    </i>
    <i>
      <x v="3"/>
    </i>
    <i>
      <x v="4"/>
    </i>
    <i>
      <x v="5"/>
    </i>
    <i>
      <x v="6"/>
    </i>
    <i>
      <x v="7"/>
    </i>
    <i>
      <x v="8"/>
    </i>
    <i t="grand">
      <x/>
    </i>
  </rowItems>
  <colItems count="1">
    <i/>
  </colItems>
  <dataFields count="1">
    <dataField name="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pivotTableDefinition>
</file>

<file path=xl/pivotTables/pivotTable7.xml><?xml version="1.0" encoding="utf-8"?>
<pivotTableDefinition xmlns="http://schemas.openxmlformats.org/spreadsheetml/2006/main" name="PT_Payment_Mode" cacheId="0"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chartFormat="3">
  <location ref="H25:I31" firstHeaderRow="1" firstDataRow="1" firstDataCol="1"/>
  <pivotFields count="14">
    <pivotField compact="0" outline="0" showAll="0"/>
    <pivotField compact="0" numFmtId="165" outline="0" showAll="0"/>
    <pivotField compact="0" outline="0" showAll="0"/>
    <pivotField compact="0" outline="0" showAll="0">
      <items count="9">
        <item x="6"/>
        <item x="3"/>
        <item x="0"/>
        <item x="4"/>
        <item x="1"/>
        <item x="2"/>
        <item x="7"/>
        <item x="5"/>
        <item t="default"/>
      </items>
    </pivotField>
    <pivotField compact="0" outline="0" showAll="0">
      <items count="6">
        <item x="1"/>
        <item x="3"/>
        <item x="0"/>
        <item x="2"/>
        <item x="4"/>
        <item t="default"/>
      </items>
    </pivotField>
    <pivotField compact="0" outline="0" showAll="0">
      <items count="26">
        <item x="23"/>
        <item x="14"/>
        <item x="24"/>
        <item x="9"/>
        <item x="21"/>
        <item x="8"/>
        <item x="17"/>
        <item x="16"/>
        <item x="11"/>
        <item x="20"/>
        <item x="1"/>
        <item x="13"/>
        <item x="22"/>
        <item x="4"/>
        <item x="19"/>
        <item x="10"/>
        <item x="3"/>
        <item x="5"/>
        <item x="0"/>
        <item x="12"/>
        <item x="2"/>
        <item x="15"/>
        <item x="7"/>
        <item x="6"/>
        <item x="18"/>
        <item t="default"/>
      </items>
    </pivotField>
    <pivotField compact="0" outline="0" showAll="0"/>
    <pivotField compact="0" numFmtId="164" outline="0" showAll="0"/>
    <pivotField compact="0" outline="0" showAll="0"/>
    <pivotField axis="axisRow" compact="0" outline="0" showAll="0">
      <items count="6">
        <item x="4"/>
        <item x="1"/>
        <item x="3"/>
        <item x="2"/>
        <item x="0"/>
        <item t="default"/>
      </items>
    </pivotField>
    <pivotField compact="0" outline="0" showAll="0">
      <items count="7">
        <item x="3"/>
        <item x="0"/>
        <item x="5"/>
        <item x="4"/>
        <item x="2"/>
        <item x="1"/>
        <item t="default"/>
      </items>
    </pivotField>
    <pivotField compact="0" outline="0" showAll="0"/>
    <pivotField dataField="1" compact="0" numFmtId="4" outline="0" showAll="0"/>
    <pivotField compact="0" numFmtId="166" outline="0" showAll="0">
      <items count="10">
        <item x="1"/>
        <item x="5"/>
        <item x="6"/>
        <item x="0"/>
        <item x="3"/>
        <item x="4"/>
        <item x="7"/>
        <item x="2"/>
        <item x="8"/>
        <item t="default"/>
      </items>
    </pivotField>
  </pivotFields>
  <rowFields count="1">
    <field x="9"/>
  </rowFields>
  <rowItems count="6">
    <i>
      <x/>
    </i>
    <i>
      <x v="1"/>
    </i>
    <i>
      <x v="2"/>
    </i>
    <i>
      <x v="3"/>
    </i>
    <i>
      <x v="4"/>
    </i>
    <i t="grand">
      <x/>
    </i>
  </rowItems>
  <colItems count="1">
    <i/>
  </colItems>
  <dataFields count="1">
    <dataField name="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8" name="PT_Monthly_Sales"/>
    <pivotTable tabId="8" name="PT_Category_Sales"/>
    <pivotTable tabId="8" name="PT_City_Sales"/>
    <pivotTable tabId="8" name="PT_KPI"/>
    <pivotTable tabId="8" name="PT_Payment_Mode"/>
    <pivotTable tabId="8" name="PT_Product_Sales"/>
    <pivotTable tabId="8" name="PT_Salesperson_Sales"/>
  </pivotTables>
  <data>
    <tabular pivotCacheId="1">
      <items count="25">
        <i x="23" s="1"/>
        <i x="14" s="1"/>
        <i x="24" s="1"/>
        <i x="9" s="1"/>
        <i x="21" s="1"/>
        <i x="8" s="1"/>
        <i x="17" s="1"/>
        <i x="16" s="1"/>
        <i x="11" s="1"/>
        <i x="20" s="1"/>
        <i x="1" s="1"/>
        <i x="13" s="1"/>
        <i x="22" s="1"/>
        <i x="4" s="1"/>
        <i x="19" s="1"/>
        <i x="10" s="1"/>
        <i x="3" s="1"/>
        <i x="5" s="1"/>
        <i x="0" s="1"/>
        <i x="12" s="1"/>
        <i x="2" s="1"/>
        <i x="15" s="1"/>
        <i x="7" s="1"/>
        <i x="6"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T_Monthly_Sales"/>
    <pivotTable tabId="8" name="PT_Category_Sales"/>
    <pivotTable tabId="8" name="PT_City_Sales"/>
    <pivotTable tabId="8" name="PT_KPI"/>
    <pivotTable tabId="8" name="PT_Payment_Mode"/>
    <pivotTable tabId="8" name="PT_Product_Sales"/>
    <pivotTable tabId="8" name="PT_Salesperson_Sales"/>
  </pivotTables>
  <data>
    <tabular pivotCacheId="1">
      <items count="9">
        <i x="1" s="1"/>
        <i x="5" s="1"/>
        <i x="6" s="1"/>
        <i x="0" s="1"/>
        <i x="3" s="1"/>
        <i x="4" s="1"/>
        <i x="7"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8" name="PT_Monthly_Sales"/>
    <pivotTable tabId="8" name="PT_Category_Sales"/>
    <pivotTable tabId="8" name="PT_City_Sales"/>
    <pivotTable tabId="8" name="PT_KPI"/>
    <pivotTable tabId="8" name="PT_Payment_Mode"/>
    <pivotTable tabId="8" name="PT_Product_Sales"/>
    <pivotTable tabId="8" name="PT_Salesperson_Sales"/>
  </pivotTables>
  <data>
    <tabular pivotCacheId="1">
      <items count="8">
        <i x="6" s="1"/>
        <i x="3" s="1"/>
        <i x="0" s="1"/>
        <i x="4" s="1"/>
        <i x="1" s="1"/>
        <i x="2" s="1"/>
        <i x="7"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8" name="PT_Monthly_Sales"/>
    <pivotTable tabId="8" name="PT_Category_Sales"/>
    <pivotTable tabId="8" name="PT_City_Sales"/>
    <pivotTable tabId="8" name="PT_KPI"/>
    <pivotTable tabId="8" name="PT_Payment_Mode"/>
    <pivotTable tabId="8" name="PT_Product_Sales"/>
    <pivotTable tabId="8" name="PT_Salesperson_Sales"/>
  </pivotTables>
  <data>
    <tabular pivotCacheId="1">
      <items count="5">
        <i x="4" s="1"/>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8" name="PT_Monthly_Sales"/>
    <pivotTable tabId="8" name="PT_Category_Sales"/>
    <pivotTable tabId="8" name="PT_City_Sales"/>
    <pivotTable tabId="8" name="PT_KPI"/>
    <pivotTable tabId="8" name="PT_Payment_Mode"/>
    <pivotTable tabId="8" name="PT_Product_Sales"/>
    <pivotTable tabId="8" name="PT_Salesperson_Sales"/>
  </pivotTables>
  <data>
    <tabular pivotCacheId="1">
      <items count="6">
        <i x="3" s="1"/>
        <i x="0" s="1"/>
        <i x="5" s="1"/>
        <i x="4"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T_Monthly_Sales"/>
    <pivotTable tabId="8" name="PT_Category_Sales"/>
    <pivotTable tabId="8" name="PT_City_Sales"/>
    <pivotTable tabId="8" name="PT_KPI"/>
    <pivotTable tabId="8" name="PT_Payment_Mode"/>
    <pivotTable tabId="8" name="PT_Product_Sales"/>
    <pivotTable tabId="8" name="PT_Salesperson_Sales"/>
  </pivotTables>
  <data>
    <tabular pivotCacheId="1">
      <items count="5">
        <i x="1" s="1"/>
        <i x="3"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yle="SlicerStyleLight5" rowHeight="241300"/>
  <slicer name="Month" cache="Slicer_Month" caption="Month" style="SlicerStyleOther2" rowHeight="241300"/>
  <slicer name="City" cache="Slicer_City" caption="City" startItem="1" style="SlicerStyleOther2" rowHeight="241300"/>
  <slicer name="Payment_Mode" cache="Slicer_Payment_Mode" caption="Payment_Mode" style="SlicerStyleLight6" rowHeight="241300"/>
  <slicer name="Salesperson" cache="Slicer_Salesperson" caption="Salesperson" style="SlicerStyleLight4" rowHeight="241300"/>
  <slicer name="Category" cache="Slicer_Category" caption="Category" style="SlicerStyleLight4" rowHeight="241300"/>
</slicers>
</file>

<file path=xl/tables/table1.xml><?xml version="1.0" encoding="utf-8"?>
<table xmlns="http://schemas.openxmlformats.org/spreadsheetml/2006/main" id="1" name="Retail_Sales" displayName="Retail_Sales" ref="A1:N251" totalsRowShown="0" headerRowDxfId="8">
  <autoFilter ref="A1:N251"/>
  <tableColumns count="14">
    <tableColumn id="1" name="Order_ID" dataDxfId="7"/>
    <tableColumn id="2" name="Order_Date" dataDxfId="6"/>
    <tableColumn id="3" name="Customer_Name" dataDxfId="5"/>
    <tableColumn id="4" name="City"/>
    <tableColumn id="5" name="Category"/>
    <tableColumn id="6" name="Product"/>
    <tableColumn id="7" name="Quantity" dataDxfId="4"/>
    <tableColumn id="8" name="Unit_Price" dataDxfId="3"/>
    <tableColumn id="9" name="Discount_Percentage" dataDxfId="2"/>
    <tableColumn id="10" name="Payment_Mode"/>
    <tableColumn id="11" name="Salesperson"/>
    <tableColumn id="12" name="Area"/>
    <tableColumn id="13" name="Sales_Amount" dataDxfId="1">
      <calculatedColumnFormula>G2*H2*(1-I2/100)</calculatedColumnFormula>
    </tableColumn>
    <tableColumn id="14" name="Month"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9B91"/>
    <pageSetUpPr fitToPage="1"/>
  </sheetPr>
  <dimension ref="A1:Y12"/>
  <sheetViews>
    <sheetView showGridLines="0" tabSelected="1" topLeftCell="B1" zoomScale="75" zoomScaleNormal="75" workbookViewId="0">
      <selection activeCell="Z42" sqref="Z42"/>
    </sheetView>
  </sheetViews>
  <sheetFormatPr defaultRowHeight="12.5"/>
  <cols>
    <col min="1" max="19" width="9" style="15" customWidth="1"/>
    <col min="20" max="16384" width="8.7265625" style="15"/>
  </cols>
  <sheetData>
    <row r="1" spans="1:25" ht="25" customHeight="1">
      <c r="A1" s="16" t="s">
        <v>594</v>
      </c>
      <c r="B1" s="16"/>
      <c r="C1" s="16"/>
      <c r="D1" s="16"/>
      <c r="E1" s="16"/>
      <c r="F1" s="16"/>
      <c r="G1" s="16"/>
      <c r="H1" s="16"/>
      <c r="I1" s="16"/>
      <c r="J1" s="16"/>
      <c r="K1" s="16"/>
      <c r="L1" s="16"/>
      <c r="M1" s="16"/>
      <c r="N1" s="16"/>
      <c r="O1" s="16"/>
      <c r="P1" s="16"/>
      <c r="Q1" s="16"/>
      <c r="R1" s="16"/>
      <c r="S1" s="16"/>
      <c r="T1" s="16"/>
      <c r="U1" s="16"/>
      <c r="V1" s="16"/>
      <c r="W1" s="16"/>
      <c r="X1" s="16"/>
      <c r="Y1" s="16"/>
    </row>
    <row r="2" spans="1:25" ht="25" customHeight="1">
      <c r="A2" s="16"/>
      <c r="B2" s="16"/>
      <c r="C2" s="16"/>
      <c r="D2" s="16"/>
      <c r="E2" s="16"/>
      <c r="F2" s="16"/>
      <c r="G2" s="16"/>
      <c r="H2" s="16"/>
      <c r="I2" s="16"/>
      <c r="J2" s="16"/>
      <c r="K2" s="16"/>
      <c r="L2" s="16"/>
      <c r="M2" s="16"/>
      <c r="N2" s="16"/>
      <c r="O2" s="16"/>
      <c r="P2" s="16"/>
      <c r="Q2" s="16"/>
      <c r="R2" s="16"/>
      <c r="S2" s="16"/>
      <c r="T2" s="16"/>
      <c r="U2" s="16"/>
      <c r="V2" s="16"/>
      <c r="W2" s="16"/>
      <c r="X2" s="16"/>
      <c r="Y2" s="16"/>
    </row>
    <row r="3" spans="1:25" ht="25" customHeight="1">
      <c r="A3" s="17" t="s">
        <v>595</v>
      </c>
      <c r="B3" s="17"/>
      <c r="C3" s="17"/>
      <c r="D3" s="17"/>
      <c r="E3" s="17"/>
      <c r="F3" s="17"/>
      <c r="G3" s="17"/>
      <c r="H3" s="17"/>
      <c r="I3" s="17"/>
      <c r="J3" s="17"/>
      <c r="K3" s="17"/>
      <c r="L3" s="17"/>
      <c r="M3" s="17"/>
      <c r="N3" s="17"/>
      <c r="O3" s="17"/>
      <c r="P3" s="17"/>
      <c r="Q3" s="17"/>
      <c r="R3" s="17"/>
      <c r="S3" s="17"/>
      <c r="T3" s="17"/>
      <c r="U3" s="17"/>
      <c r="V3" s="17"/>
      <c r="W3" s="17"/>
      <c r="X3" s="17"/>
      <c r="Y3" s="17"/>
    </row>
    <row r="4" spans="1:25" ht="22" customHeight="1"/>
    <row r="5" spans="1:25" ht="22" customHeight="1">
      <c r="A5" s="18" t="s">
        <v>596</v>
      </c>
      <c r="B5" s="18"/>
      <c r="C5" s="18"/>
      <c r="D5" s="18"/>
      <c r="F5" s="18" t="s">
        <v>597</v>
      </c>
      <c r="G5" s="18"/>
      <c r="H5" s="18"/>
      <c r="I5" s="18"/>
      <c r="K5" s="18" t="s">
        <v>598</v>
      </c>
      <c r="L5" s="18"/>
      <c r="M5" s="18"/>
      <c r="N5" s="18"/>
      <c r="P5" s="18" t="s">
        <v>599</v>
      </c>
      <c r="Q5" s="18"/>
      <c r="R5" s="18"/>
      <c r="S5" s="18"/>
    </row>
    <row r="6" spans="1:25" ht="22" customHeight="1">
      <c r="A6" s="19">
        <f>IFERROR(GETPIVOTDATA("Total Sales",'Pivot Analysis'!$AA$4),0)</f>
        <v>1101724.5499999996</v>
      </c>
      <c r="B6" s="20"/>
      <c r="C6" s="20"/>
      <c r="D6" s="20"/>
      <c r="F6" s="21">
        <f>IFERROR(GETPIVOTDATA("Total Orders",'Pivot Analysis'!$AA$4),0)</f>
        <v>250</v>
      </c>
      <c r="G6" s="20"/>
      <c r="H6" s="20"/>
      <c r="I6" s="20"/>
      <c r="K6" s="21">
        <f>IFERROR(GETPIVOTDATA("Total Quantity",'Pivot Analysis'!$AA$4),0)</f>
        <v>740</v>
      </c>
      <c r="L6" s="20"/>
      <c r="M6" s="20"/>
      <c r="N6" s="20"/>
      <c r="P6" s="22">
        <f>IFERROR(GETPIVOTDATA("Average Order Value",'Pivot Analysis'!$AA$4),0)</f>
        <v>4406.8981999999987</v>
      </c>
      <c r="Q6" s="20"/>
      <c r="R6" s="20"/>
      <c r="S6" s="20"/>
    </row>
    <row r="7" spans="1:25" ht="22" customHeight="1">
      <c r="A7" s="20"/>
      <c r="B7" s="20"/>
      <c r="C7" s="20"/>
      <c r="D7" s="20"/>
      <c r="F7" s="20"/>
      <c r="G7" s="20"/>
      <c r="H7" s="20"/>
      <c r="I7" s="20"/>
      <c r="K7" s="20"/>
      <c r="L7" s="20"/>
      <c r="M7" s="20"/>
      <c r="N7" s="20"/>
      <c r="P7" s="20"/>
      <c r="Q7" s="20"/>
      <c r="R7" s="20"/>
      <c r="S7" s="20"/>
    </row>
    <row r="8" spans="1:25" ht="19" customHeight="1"/>
    <row r="9" spans="1:25" ht="19" customHeight="1"/>
    <row r="10" spans="1:25" ht="19" customHeight="1"/>
    <row r="11" spans="1:25" ht="19" customHeight="1"/>
    <row r="12" spans="1:25" ht="19" customHeight="1"/>
  </sheetData>
  <mergeCells count="10">
    <mergeCell ref="A1:Y2"/>
    <mergeCell ref="A3:Y3"/>
    <mergeCell ref="A5:D5"/>
    <mergeCell ref="A6:D7"/>
    <mergeCell ref="F5:I5"/>
    <mergeCell ref="F6:I7"/>
    <mergeCell ref="K5:N5"/>
    <mergeCell ref="K6:N7"/>
    <mergeCell ref="P5:S5"/>
    <mergeCell ref="P6:S7"/>
  </mergeCells>
  <printOptions horizontalCentered="1"/>
  <pageMargins left="0.2" right="0.2" top="0.25" bottom="0.25" header="0.3" footer="0.3"/>
  <pageSetup paperSize="9" scale="7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251"/>
  <sheetViews>
    <sheetView zoomScale="80" zoomScaleNormal="80" workbookViewId="0">
      <pane ySplit="1" topLeftCell="A2" activePane="bottomLeft" state="frozen"/>
      <selection pane="bottomLeft" activeCell="C4" sqref="C4"/>
    </sheetView>
  </sheetViews>
  <sheetFormatPr defaultRowHeight="14.5"/>
  <cols>
    <col min="1" max="1" width="12.81640625" style="3" customWidth="1"/>
    <col min="2" max="2" width="15.54296875" style="7" customWidth="1"/>
    <col min="3" max="3" width="20.7265625" style="3" customWidth="1"/>
    <col min="4" max="4" width="11" bestFit="1" customWidth="1"/>
    <col min="5" max="5" width="14.26953125" bestFit="1" customWidth="1"/>
    <col min="6" max="6" width="16.1796875" bestFit="1" customWidth="1"/>
    <col min="7" max="7" width="12.1796875" style="3" customWidth="1"/>
    <col min="8" max="8" width="14.1796875" style="5" customWidth="1"/>
    <col min="9" max="9" width="25.81640625" style="3" customWidth="1"/>
    <col min="10" max="10" width="19.26953125" customWidth="1"/>
    <col min="11" max="11" width="16.54296875" customWidth="1"/>
    <col min="12" max="12" width="12.6328125" bestFit="1" customWidth="1"/>
    <col min="13" max="13" width="18.36328125" style="9" customWidth="1"/>
    <col min="14" max="14" width="9.1796875" style="11" bestFit="1" customWidth="1"/>
  </cols>
  <sheetData>
    <row r="1" spans="1:14" ht="15.5">
      <c r="A1" s="2" t="s">
        <v>0</v>
      </c>
      <c r="B1" s="6" t="s">
        <v>1</v>
      </c>
      <c r="C1" s="2" t="s">
        <v>2</v>
      </c>
      <c r="D1" s="1" t="s">
        <v>3</v>
      </c>
      <c r="E1" s="1" t="s">
        <v>4</v>
      </c>
      <c r="F1" s="1" t="s">
        <v>5</v>
      </c>
      <c r="G1" s="2" t="s">
        <v>6</v>
      </c>
      <c r="H1" s="4" t="s">
        <v>7</v>
      </c>
      <c r="I1" s="2" t="s">
        <v>8</v>
      </c>
      <c r="J1" s="1" t="s">
        <v>9</v>
      </c>
      <c r="K1" s="1" t="s">
        <v>10</v>
      </c>
      <c r="L1" s="1" t="s">
        <v>11</v>
      </c>
      <c r="M1" s="8" t="s">
        <v>12</v>
      </c>
      <c r="N1" s="10" t="s">
        <v>586</v>
      </c>
    </row>
    <row r="2" spans="1:14">
      <c r="A2" s="3" t="s">
        <v>13</v>
      </c>
      <c r="B2" s="7">
        <v>46137</v>
      </c>
      <c r="C2" s="3" t="s">
        <v>14</v>
      </c>
      <c r="D2" t="s">
        <v>15</v>
      </c>
      <c r="E2" t="s">
        <v>16</v>
      </c>
      <c r="F2" t="s">
        <v>17</v>
      </c>
      <c r="G2" s="3">
        <v>2</v>
      </c>
      <c r="H2" s="5">
        <v>2499</v>
      </c>
      <c r="I2" s="3">
        <v>20</v>
      </c>
      <c r="J2" t="s">
        <v>18</v>
      </c>
      <c r="K2" t="s">
        <v>19</v>
      </c>
      <c r="L2" t="s">
        <v>20</v>
      </c>
      <c r="M2" s="9">
        <f>G2*H2*(1-I2/100)</f>
        <v>3998.4</v>
      </c>
      <c r="N2" s="11">
        <v>46113</v>
      </c>
    </row>
    <row r="3" spans="1:14">
      <c r="A3" s="3" t="s">
        <v>21</v>
      </c>
      <c r="B3" s="7">
        <v>46038</v>
      </c>
      <c r="C3" s="3" t="s">
        <v>22</v>
      </c>
      <c r="D3" t="s">
        <v>15</v>
      </c>
      <c r="E3" t="s">
        <v>23</v>
      </c>
      <c r="F3" t="s">
        <v>24</v>
      </c>
      <c r="G3" s="3">
        <v>1</v>
      </c>
      <c r="H3" s="5">
        <v>399</v>
      </c>
      <c r="I3" s="3">
        <v>5</v>
      </c>
      <c r="J3" t="s">
        <v>25</v>
      </c>
      <c r="K3" t="s">
        <v>26</v>
      </c>
      <c r="L3" t="s">
        <v>27</v>
      </c>
      <c r="M3" s="9">
        <f t="shared" ref="M3:M66" si="0">G3*H3*(1-I3/100)</f>
        <v>379.04999999999995</v>
      </c>
      <c r="N3" s="11">
        <v>46023</v>
      </c>
    </row>
    <row r="4" spans="1:14">
      <c r="A4" s="3" t="s">
        <v>28</v>
      </c>
      <c r="B4" s="7">
        <v>46237</v>
      </c>
      <c r="C4" s="3" t="s">
        <v>29</v>
      </c>
      <c r="D4" t="s">
        <v>30</v>
      </c>
      <c r="E4" t="s">
        <v>31</v>
      </c>
      <c r="F4" t="s">
        <v>32</v>
      </c>
      <c r="G4" s="3">
        <v>2</v>
      </c>
      <c r="H4" s="5">
        <v>999</v>
      </c>
      <c r="I4" s="3">
        <v>10</v>
      </c>
      <c r="J4" t="s">
        <v>33</v>
      </c>
      <c r="K4" t="s">
        <v>34</v>
      </c>
      <c r="L4" t="s">
        <v>35</v>
      </c>
      <c r="M4" s="9">
        <f t="shared" si="0"/>
        <v>1798.2</v>
      </c>
      <c r="N4" s="11">
        <v>46235</v>
      </c>
    </row>
    <row r="5" spans="1:14">
      <c r="A5" s="3" t="s">
        <v>36</v>
      </c>
      <c r="B5" s="7">
        <v>46165</v>
      </c>
      <c r="C5" s="3" t="s">
        <v>37</v>
      </c>
      <c r="D5" t="s">
        <v>30</v>
      </c>
      <c r="E5" t="s">
        <v>23</v>
      </c>
      <c r="F5" t="s">
        <v>38</v>
      </c>
      <c r="G5" s="3">
        <v>2</v>
      </c>
      <c r="H5" s="5">
        <v>1499</v>
      </c>
      <c r="I5" s="3">
        <v>5</v>
      </c>
      <c r="J5" t="s">
        <v>39</v>
      </c>
      <c r="K5" t="s">
        <v>40</v>
      </c>
      <c r="L5" t="s">
        <v>41</v>
      </c>
      <c r="M5" s="9">
        <f t="shared" si="0"/>
        <v>2848.1</v>
      </c>
      <c r="N5" s="11">
        <v>46143</v>
      </c>
    </row>
    <row r="6" spans="1:14">
      <c r="A6" s="3" t="s">
        <v>42</v>
      </c>
      <c r="B6" s="7">
        <v>46199</v>
      </c>
      <c r="C6" s="3" t="s">
        <v>43</v>
      </c>
      <c r="D6" t="s">
        <v>15</v>
      </c>
      <c r="E6" t="s">
        <v>44</v>
      </c>
      <c r="F6" t="s">
        <v>45</v>
      </c>
      <c r="G6" s="3">
        <v>5</v>
      </c>
      <c r="H6" s="5">
        <v>1199</v>
      </c>
      <c r="I6" s="3">
        <v>10</v>
      </c>
      <c r="J6" t="s">
        <v>18</v>
      </c>
      <c r="K6" t="s">
        <v>19</v>
      </c>
      <c r="L6" t="s">
        <v>46</v>
      </c>
      <c r="M6" s="9">
        <f t="shared" si="0"/>
        <v>5395.5</v>
      </c>
      <c r="N6" s="11">
        <v>46174</v>
      </c>
    </row>
    <row r="7" spans="1:14">
      <c r="A7" s="3" t="s">
        <v>47</v>
      </c>
      <c r="B7" s="7">
        <v>46063</v>
      </c>
      <c r="C7" s="3" t="s">
        <v>48</v>
      </c>
      <c r="D7" t="s">
        <v>49</v>
      </c>
      <c r="E7" t="s">
        <v>44</v>
      </c>
      <c r="F7" t="s">
        <v>50</v>
      </c>
      <c r="G7" s="3">
        <v>5</v>
      </c>
      <c r="H7" s="5">
        <v>1299</v>
      </c>
      <c r="I7" s="3">
        <v>10</v>
      </c>
      <c r="J7" t="s">
        <v>33</v>
      </c>
      <c r="K7" t="s">
        <v>34</v>
      </c>
      <c r="L7" t="s">
        <v>51</v>
      </c>
      <c r="M7" s="9">
        <f t="shared" si="0"/>
        <v>5845.5</v>
      </c>
      <c r="N7" s="11">
        <v>46054</v>
      </c>
    </row>
    <row r="8" spans="1:14">
      <c r="A8" s="3" t="s">
        <v>52</v>
      </c>
      <c r="B8" s="7">
        <v>46139</v>
      </c>
      <c r="C8" s="3" t="s">
        <v>53</v>
      </c>
      <c r="D8" t="s">
        <v>54</v>
      </c>
      <c r="E8" t="s">
        <v>44</v>
      </c>
      <c r="F8" t="s">
        <v>55</v>
      </c>
      <c r="G8" s="3">
        <v>3</v>
      </c>
      <c r="H8" s="5">
        <v>799</v>
      </c>
      <c r="I8" s="3">
        <v>0</v>
      </c>
      <c r="J8" t="s">
        <v>25</v>
      </c>
      <c r="K8" t="s">
        <v>40</v>
      </c>
      <c r="L8" t="s">
        <v>56</v>
      </c>
      <c r="M8" s="9">
        <f t="shared" si="0"/>
        <v>2397</v>
      </c>
      <c r="N8" s="11">
        <v>46113</v>
      </c>
    </row>
    <row r="9" spans="1:14">
      <c r="A9" s="3" t="s">
        <v>57</v>
      </c>
      <c r="B9" s="7">
        <v>46106</v>
      </c>
      <c r="C9" s="3" t="s">
        <v>58</v>
      </c>
      <c r="D9" t="s">
        <v>59</v>
      </c>
      <c r="E9" t="s">
        <v>23</v>
      </c>
      <c r="F9" t="s">
        <v>38</v>
      </c>
      <c r="G9" s="3">
        <v>3</v>
      </c>
      <c r="H9" s="5">
        <v>1499</v>
      </c>
      <c r="I9" s="3">
        <v>10</v>
      </c>
      <c r="J9" t="s">
        <v>25</v>
      </c>
      <c r="K9" t="s">
        <v>19</v>
      </c>
      <c r="L9" t="s">
        <v>60</v>
      </c>
      <c r="M9" s="9">
        <f t="shared" si="0"/>
        <v>4047.3</v>
      </c>
      <c r="N9" s="11">
        <v>46082</v>
      </c>
    </row>
    <row r="10" spans="1:14">
      <c r="A10" s="3" t="s">
        <v>61</v>
      </c>
      <c r="B10" s="7">
        <v>46110</v>
      </c>
      <c r="C10" s="3" t="s">
        <v>62</v>
      </c>
      <c r="D10" t="s">
        <v>63</v>
      </c>
      <c r="E10" t="s">
        <v>44</v>
      </c>
      <c r="F10" t="s">
        <v>64</v>
      </c>
      <c r="G10" s="3">
        <v>5</v>
      </c>
      <c r="H10" s="5">
        <v>899</v>
      </c>
      <c r="I10" s="3">
        <v>20</v>
      </c>
      <c r="J10" t="s">
        <v>25</v>
      </c>
      <c r="K10" t="s">
        <v>65</v>
      </c>
      <c r="L10" t="s">
        <v>66</v>
      </c>
      <c r="M10" s="9">
        <f t="shared" si="0"/>
        <v>3596</v>
      </c>
      <c r="N10" s="11">
        <v>46082</v>
      </c>
    </row>
    <row r="11" spans="1:14">
      <c r="A11" s="3" t="s">
        <v>67</v>
      </c>
      <c r="B11" s="7">
        <v>46135</v>
      </c>
      <c r="C11" s="3" t="s">
        <v>68</v>
      </c>
      <c r="D11" t="s">
        <v>49</v>
      </c>
      <c r="E11" t="s">
        <v>16</v>
      </c>
      <c r="F11" t="s">
        <v>69</v>
      </c>
      <c r="G11" s="3">
        <v>3</v>
      </c>
      <c r="H11" s="5">
        <v>699</v>
      </c>
      <c r="I11" s="3">
        <v>0</v>
      </c>
      <c r="J11" t="s">
        <v>25</v>
      </c>
      <c r="K11" t="s">
        <v>40</v>
      </c>
      <c r="L11" t="s">
        <v>70</v>
      </c>
      <c r="M11" s="9">
        <f t="shared" si="0"/>
        <v>2097</v>
      </c>
      <c r="N11" s="11">
        <v>46113</v>
      </c>
    </row>
    <row r="12" spans="1:14">
      <c r="A12" s="3" t="s">
        <v>71</v>
      </c>
      <c r="B12" s="7">
        <v>46131</v>
      </c>
      <c r="C12" s="3" t="s">
        <v>72</v>
      </c>
      <c r="D12" t="s">
        <v>73</v>
      </c>
      <c r="E12" t="s">
        <v>16</v>
      </c>
      <c r="F12" t="s">
        <v>74</v>
      </c>
      <c r="G12" s="3">
        <v>5</v>
      </c>
      <c r="H12" s="5">
        <v>1299</v>
      </c>
      <c r="I12" s="3">
        <v>20</v>
      </c>
      <c r="J12" t="s">
        <v>39</v>
      </c>
      <c r="K12" t="s">
        <v>65</v>
      </c>
      <c r="L12" t="s">
        <v>75</v>
      </c>
      <c r="M12" s="9">
        <f t="shared" si="0"/>
        <v>5196</v>
      </c>
      <c r="N12" s="11">
        <v>46113</v>
      </c>
    </row>
    <row r="13" spans="1:14">
      <c r="A13" s="3" t="s">
        <v>76</v>
      </c>
      <c r="B13" s="7">
        <v>46158</v>
      </c>
      <c r="C13" s="3" t="s">
        <v>77</v>
      </c>
      <c r="D13" t="s">
        <v>49</v>
      </c>
      <c r="E13" t="s">
        <v>23</v>
      </c>
      <c r="F13" t="s">
        <v>78</v>
      </c>
      <c r="G13" s="3">
        <v>2</v>
      </c>
      <c r="H13" s="5">
        <v>599</v>
      </c>
      <c r="I13" s="3">
        <v>5</v>
      </c>
      <c r="J13" t="s">
        <v>33</v>
      </c>
      <c r="K13" t="s">
        <v>26</v>
      </c>
      <c r="L13" t="s">
        <v>70</v>
      </c>
      <c r="M13" s="9">
        <f t="shared" si="0"/>
        <v>1138.0999999999999</v>
      </c>
      <c r="N13" s="11">
        <v>46143</v>
      </c>
    </row>
    <row r="14" spans="1:14">
      <c r="A14" s="3" t="s">
        <v>79</v>
      </c>
      <c r="B14" s="7">
        <v>46227</v>
      </c>
      <c r="C14" s="3" t="s">
        <v>80</v>
      </c>
      <c r="D14" t="s">
        <v>63</v>
      </c>
      <c r="E14" t="s">
        <v>81</v>
      </c>
      <c r="F14" t="s">
        <v>82</v>
      </c>
      <c r="G14" s="3">
        <v>3</v>
      </c>
      <c r="H14" s="5">
        <v>1999</v>
      </c>
      <c r="I14" s="3">
        <v>5</v>
      </c>
      <c r="J14" t="s">
        <v>25</v>
      </c>
      <c r="K14" t="s">
        <v>26</v>
      </c>
      <c r="L14" t="s">
        <v>66</v>
      </c>
      <c r="M14" s="9">
        <f t="shared" si="0"/>
        <v>5697.15</v>
      </c>
      <c r="N14" s="11">
        <v>46204</v>
      </c>
    </row>
    <row r="15" spans="1:14">
      <c r="A15" s="3" t="s">
        <v>83</v>
      </c>
      <c r="B15" s="7">
        <v>46101</v>
      </c>
      <c r="C15" s="3" t="s">
        <v>84</v>
      </c>
      <c r="D15" t="s">
        <v>49</v>
      </c>
      <c r="E15" t="s">
        <v>44</v>
      </c>
      <c r="F15" t="s">
        <v>55</v>
      </c>
      <c r="G15" s="3">
        <v>2</v>
      </c>
      <c r="H15" s="5">
        <v>799</v>
      </c>
      <c r="I15" s="3">
        <v>20</v>
      </c>
      <c r="J15" t="s">
        <v>85</v>
      </c>
      <c r="K15" t="s">
        <v>26</v>
      </c>
      <c r="L15" t="s">
        <v>86</v>
      </c>
      <c r="M15" s="9">
        <f t="shared" si="0"/>
        <v>1278.4000000000001</v>
      </c>
      <c r="N15" s="11">
        <v>46082</v>
      </c>
    </row>
    <row r="16" spans="1:14">
      <c r="A16" s="3" t="s">
        <v>87</v>
      </c>
      <c r="B16" s="7">
        <v>46262</v>
      </c>
      <c r="C16" s="3" t="s">
        <v>88</v>
      </c>
      <c r="D16" t="s">
        <v>15</v>
      </c>
      <c r="E16" t="s">
        <v>23</v>
      </c>
      <c r="F16" t="s">
        <v>89</v>
      </c>
      <c r="G16" s="3">
        <v>5</v>
      </c>
      <c r="H16" s="5">
        <v>2199</v>
      </c>
      <c r="I16" s="3">
        <v>10</v>
      </c>
      <c r="J16" t="s">
        <v>33</v>
      </c>
      <c r="K16" t="s">
        <v>40</v>
      </c>
      <c r="L16" t="s">
        <v>46</v>
      </c>
      <c r="M16" s="9">
        <f t="shared" si="0"/>
        <v>9895.5</v>
      </c>
      <c r="N16" s="11">
        <v>46235</v>
      </c>
    </row>
    <row r="17" spans="1:14">
      <c r="A17" s="3" t="s">
        <v>90</v>
      </c>
      <c r="B17" s="7">
        <v>46197</v>
      </c>
      <c r="C17" s="3" t="s">
        <v>91</v>
      </c>
      <c r="D17" t="s">
        <v>15</v>
      </c>
      <c r="E17" t="s">
        <v>81</v>
      </c>
      <c r="F17" t="s">
        <v>92</v>
      </c>
      <c r="G17" s="3">
        <v>1</v>
      </c>
      <c r="H17" s="5">
        <v>999</v>
      </c>
      <c r="I17" s="3">
        <v>10</v>
      </c>
      <c r="J17" t="s">
        <v>85</v>
      </c>
      <c r="K17" t="s">
        <v>65</v>
      </c>
      <c r="L17" t="s">
        <v>27</v>
      </c>
      <c r="M17" s="9">
        <f t="shared" si="0"/>
        <v>899.1</v>
      </c>
      <c r="N17" s="11">
        <v>46174</v>
      </c>
    </row>
    <row r="18" spans="1:14">
      <c r="A18" s="3" t="s">
        <v>93</v>
      </c>
      <c r="B18" s="7">
        <v>46114</v>
      </c>
      <c r="C18" s="3" t="s">
        <v>94</v>
      </c>
      <c r="D18" t="s">
        <v>49</v>
      </c>
      <c r="E18" t="s">
        <v>16</v>
      </c>
      <c r="F18" t="s">
        <v>69</v>
      </c>
      <c r="G18" s="3">
        <v>5</v>
      </c>
      <c r="H18" s="5">
        <v>699</v>
      </c>
      <c r="I18" s="3">
        <v>0</v>
      </c>
      <c r="J18" t="s">
        <v>39</v>
      </c>
      <c r="K18" t="s">
        <v>19</v>
      </c>
      <c r="L18" t="s">
        <v>86</v>
      </c>
      <c r="M18" s="9">
        <f t="shared" si="0"/>
        <v>3495</v>
      </c>
      <c r="N18" s="11">
        <v>46113</v>
      </c>
    </row>
    <row r="19" spans="1:14">
      <c r="A19" s="3" t="s">
        <v>95</v>
      </c>
      <c r="B19" s="7">
        <v>46294</v>
      </c>
      <c r="C19" s="3" t="s">
        <v>96</v>
      </c>
      <c r="D19" t="s">
        <v>54</v>
      </c>
      <c r="E19" t="s">
        <v>16</v>
      </c>
      <c r="F19" t="s">
        <v>17</v>
      </c>
      <c r="G19" s="3">
        <v>1</v>
      </c>
      <c r="H19" s="5">
        <v>2499</v>
      </c>
      <c r="I19" s="3">
        <v>15</v>
      </c>
      <c r="J19" t="s">
        <v>39</v>
      </c>
      <c r="K19" t="s">
        <v>97</v>
      </c>
      <c r="L19" t="s">
        <v>98</v>
      </c>
      <c r="M19" s="9">
        <f t="shared" si="0"/>
        <v>2124.15</v>
      </c>
      <c r="N19" s="11">
        <v>46266</v>
      </c>
    </row>
    <row r="20" spans="1:14">
      <c r="A20" s="3" t="s">
        <v>99</v>
      </c>
      <c r="B20" s="7">
        <v>46145</v>
      </c>
      <c r="C20" s="3" t="s">
        <v>100</v>
      </c>
      <c r="D20" t="s">
        <v>30</v>
      </c>
      <c r="E20" t="s">
        <v>16</v>
      </c>
      <c r="F20" t="s">
        <v>101</v>
      </c>
      <c r="G20" s="3">
        <v>1</v>
      </c>
      <c r="H20" s="5">
        <v>1799</v>
      </c>
      <c r="I20" s="3">
        <v>5</v>
      </c>
      <c r="J20" t="s">
        <v>33</v>
      </c>
      <c r="K20" t="s">
        <v>40</v>
      </c>
      <c r="L20" t="s">
        <v>41</v>
      </c>
      <c r="M20" s="9">
        <f t="shared" si="0"/>
        <v>1709.05</v>
      </c>
      <c r="N20" s="11">
        <v>46143</v>
      </c>
    </row>
    <row r="21" spans="1:14">
      <c r="A21" s="3" t="s">
        <v>102</v>
      </c>
      <c r="B21" s="7">
        <v>46295</v>
      </c>
      <c r="C21" s="3" t="s">
        <v>103</v>
      </c>
      <c r="D21" t="s">
        <v>15</v>
      </c>
      <c r="E21" t="s">
        <v>23</v>
      </c>
      <c r="F21" t="s">
        <v>24</v>
      </c>
      <c r="G21" s="3">
        <v>2</v>
      </c>
      <c r="H21" s="5">
        <v>399</v>
      </c>
      <c r="I21" s="3">
        <v>5</v>
      </c>
      <c r="J21" t="s">
        <v>85</v>
      </c>
      <c r="K21" t="s">
        <v>26</v>
      </c>
      <c r="L21" t="s">
        <v>27</v>
      </c>
      <c r="M21" s="9">
        <f t="shared" si="0"/>
        <v>758.09999999999991</v>
      </c>
      <c r="N21" s="11">
        <v>46266</v>
      </c>
    </row>
    <row r="22" spans="1:14">
      <c r="A22" s="3" t="s">
        <v>104</v>
      </c>
      <c r="B22" s="7">
        <v>46239</v>
      </c>
      <c r="C22" s="3" t="s">
        <v>105</v>
      </c>
      <c r="D22" t="s">
        <v>106</v>
      </c>
      <c r="E22" t="s">
        <v>81</v>
      </c>
      <c r="F22" t="s">
        <v>107</v>
      </c>
      <c r="G22" s="3">
        <v>2</v>
      </c>
      <c r="H22" s="5">
        <v>2899</v>
      </c>
      <c r="I22" s="3">
        <v>15</v>
      </c>
      <c r="J22" t="s">
        <v>25</v>
      </c>
      <c r="K22" t="s">
        <v>19</v>
      </c>
      <c r="L22" t="s">
        <v>108</v>
      </c>
      <c r="M22" s="9">
        <f t="shared" si="0"/>
        <v>4928.3</v>
      </c>
      <c r="N22" s="11">
        <v>46235</v>
      </c>
    </row>
    <row r="23" spans="1:14">
      <c r="A23" s="3" t="s">
        <v>109</v>
      </c>
      <c r="B23" s="7">
        <v>46287</v>
      </c>
      <c r="C23" s="3" t="s">
        <v>110</v>
      </c>
      <c r="D23" t="s">
        <v>63</v>
      </c>
      <c r="E23" t="s">
        <v>16</v>
      </c>
      <c r="F23" t="s">
        <v>111</v>
      </c>
      <c r="G23" s="3">
        <v>4</v>
      </c>
      <c r="H23" s="5">
        <v>1999</v>
      </c>
      <c r="I23" s="3">
        <v>0</v>
      </c>
      <c r="J23" t="s">
        <v>25</v>
      </c>
      <c r="K23" t="s">
        <v>65</v>
      </c>
      <c r="L23" t="s">
        <v>112</v>
      </c>
      <c r="M23" s="9">
        <f t="shared" si="0"/>
        <v>7996</v>
      </c>
      <c r="N23" s="11">
        <v>46266</v>
      </c>
    </row>
    <row r="24" spans="1:14">
      <c r="A24" s="3" t="s">
        <v>113</v>
      </c>
      <c r="B24" s="7">
        <v>46140</v>
      </c>
      <c r="C24" s="3" t="s">
        <v>114</v>
      </c>
      <c r="D24" t="s">
        <v>15</v>
      </c>
      <c r="E24" t="s">
        <v>44</v>
      </c>
      <c r="F24" t="s">
        <v>64</v>
      </c>
      <c r="G24" s="3">
        <v>5</v>
      </c>
      <c r="H24" s="5">
        <v>899</v>
      </c>
      <c r="I24" s="3">
        <v>5</v>
      </c>
      <c r="J24" t="s">
        <v>18</v>
      </c>
      <c r="K24" t="s">
        <v>40</v>
      </c>
      <c r="L24" t="s">
        <v>46</v>
      </c>
      <c r="M24" s="9">
        <f t="shared" si="0"/>
        <v>4270.25</v>
      </c>
      <c r="N24" s="11">
        <v>46113</v>
      </c>
    </row>
    <row r="25" spans="1:14">
      <c r="A25" s="3" t="s">
        <v>115</v>
      </c>
      <c r="B25" s="7">
        <v>46192</v>
      </c>
      <c r="C25" s="3" t="s">
        <v>116</v>
      </c>
      <c r="D25" t="s">
        <v>30</v>
      </c>
      <c r="E25" t="s">
        <v>44</v>
      </c>
      <c r="F25" t="s">
        <v>55</v>
      </c>
      <c r="G25" s="3">
        <v>1</v>
      </c>
      <c r="H25" s="5">
        <v>799</v>
      </c>
      <c r="I25" s="3">
        <v>15</v>
      </c>
      <c r="J25" t="s">
        <v>25</v>
      </c>
      <c r="K25" t="s">
        <v>34</v>
      </c>
      <c r="L25" t="s">
        <v>41</v>
      </c>
      <c r="M25" s="9">
        <f t="shared" si="0"/>
        <v>679.15</v>
      </c>
      <c r="N25" s="11">
        <v>46174</v>
      </c>
    </row>
    <row r="26" spans="1:14">
      <c r="A26" s="3" t="s">
        <v>117</v>
      </c>
      <c r="B26" s="7">
        <v>46265</v>
      </c>
      <c r="C26" s="3" t="s">
        <v>118</v>
      </c>
      <c r="D26" t="s">
        <v>49</v>
      </c>
      <c r="E26" t="s">
        <v>81</v>
      </c>
      <c r="F26" t="s">
        <v>119</v>
      </c>
      <c r="G26" s="3">
        <v>2</v>
      </c>
      <c r="H26" s="5">
        <v>2499</v>
      </c>
      <c r="I26" s="3">
        <v>10</v>
      </c>
      <c r="J26" t="s">
        <v>85</v>
      </c>
      <c r="K26" t="s">
        <v>65</v>
      </c>
      <c r="L26" t="s">
        <v>86</v>
      </c>
      <c r="M26" s="9">
        <f t="shared" si="0"/>
        <v>4498.2</v>
      </c>
      <c r="N26" s="11">
        <v>46235</v>
      </c>
    </row>
    <row r="27" spans="1:14">
      <c r="A27" s="3" t="s">
        <v>120</v>
      </c>
      <c r="B27" s="7">
        <v>46239</v>
      </c>
      <c r="C27" s="3" t="s">
        <v>121</v>
      </c>
      <c r="D27" t="s">
        <v>15</v>
      </c>
      <c r="E27" t="s">
        <v>23</v>
      </c>
      <c r="F27" t="s">
        <v>38</v>
      </c>
      <c r="G27" s="3">
        <v>4</v>
      </c>
      <c r="H27" s="5">
        <v>1499</v>
      </c>
      <c r="I27" s="3">
        <v>10</v>
      </c>
      <c r="J27" t="s">
        <v>18</v>
      </c>
      <c r="K27" t="s">
        <v>19</v>
      </c>
      <c r="L27" t="s">
        <v>20</v>
      </c>
      <c r="M27" s="9">
        <f t="shared" si="0"/>
        <v>5396.4000000000005</v>
      </c>
      <c r="N27" s="11">
        <v>46235</v>
      </c>
    </row>
    <row r="28" spans="1:14">
      <c r="A28" s="3" t="s">
        <v>122</v>
      </c>
      <c r="B28" s="7">
        <v>46078</v>
      </c>
      <c r="C28" s="3" t="s">
        <v>123</v>
      </c>
      <c r="D28" t="s">
        <v>15</v>
      </c>
      <c r="E28" t="s">
        <v>23</v>
      </c>
      <c r="F28" t="s">
        <v>38</v>
      </c>
      <c r="G28" s="3">
        <v>2</v>
      </c>
      <c r="H28" s="5">
        <v>1499</v>
      </c>
      <c r="I28" s="3">
        <v>5</v>
      </c>
      <c r="J28" t="s">
        <v>25</v>
      </c>
      <c r="K28" t="s">
        <v>26</v>
      </c>
      <c r="L28" t="s">
        <v>20</v>
      </c>
      <c r="M28" s="9">
        <f t="shared" si="0"/>
        <v>2848.1</v>
      </c>
      <c r="N28" s="11">
        <v>46054</v>
      </c>
    </row>
    <row r="29" spans="1:14">
      <c r="A29" s="3" t="s">
        <v>124</v>
      </c>
      <c r="B29" s="7">
        <v>46165</v>
      </c>
      <c r="C29" s="3" t="s">
        <v>125</v>
      </c>
      <c r="D29" t="s">
        <v>49</v>
      </c>
      <c r="E29" t="s">
        <v>23</v>
      </c>
      <c r="F29" t="s">
        <v>78</v>
      </c>
      <c r="G29" s="3">
        <v>4</v>
      </c>
      <c r="H29" s="5">
        <v>599</v>
      </c>
      <c r="I29" s="3">
        <v>5</v>
      </c>
      <c r="J29" t="s">
        <v>18</v>
      </c>
      <c r="K29" t="s">
        <v>97</v>
      </c>
      <c r="L29" t="s">
        <v>86</v>
      </c>
      <c r="M29" s="9">
        <f t="shared" si="0"/>
        <v>2276.1999999999998</v>
      </c>
      <c r="N29" s="11">
        <v>46143</v>
      </c>
    </row>
    <row r="30" spans="1:14">
      <c r="A30" s="3" t="s">
        <v>126</v>
      </c>
      <c r="B30" s="7">
        <v>46070</v>
      </c>
      <c r="C30" s="3" t="s">
        <v>127</v>
      </c>
      <c r="D30" t="s">
        <v>15</v>
      </c>
      <c r="E30" t="s">
        <v>81</v>
      </c>
      <c r="F30" t="s">
        <v>128</v>
      </c>
      <c r="G30" s="3">
        <v>2</v>
      </c>
      <c r="H30" s="5">
        <v>899</v>
      </c>
      <c r="I30" s="3">
        <v>5</v>
      </c>
      <c r="J30" t="s">
        <v>85</v>
      </c>
      <c r="K30" t="s">
        <v>97</v>
      </c>
      <c r="L30" t="s">
        <v>20</v>
      </c>
      <c r="M30" s="9">
        <f t="shared" si="0"/>
        <v>1708.1</v>
      </c>
      <c r="N30" s="11">
        <v>46054</v>
      </c>
    </row>
    <row r="31" spans="1:14">
      <c r="A31" s="3" t="s">
        <v>129</v>
      </c>
      <c r="B31" s="7">
        <v>46107</v>
      </c>
      <c r="C31" s="3" t="s">
        <v>130</v>
      </c>
      <c r="D31" t="s">
        <v>49</v>
      </c>
      <c r="E31" t="s">
        <v>23</v>
      </c>
      <c r="F31" t="s">
        <v>24</v>
      </c>
      <c r="G31" s="3">
        <v>4</v>
      </c>
      <c r="H31" s="5">
        <v>399</v>
      </c>
      <c r="I31" s="3">
        <v>0</v>
      </c>
      <c r="J31" t="s">
        <v>85</v>
      </c>
      <c r="K31" t="s">
        <v>34</v>
      </c>
      <c r="L31" t="s">
        <v>86</v>
      </c>
      <c r="M31" s="9">
        <f t="shared" si="0"/>
        <v>1596</v>
      </c>
      <c r="N31" s="11">
        <v>46082</v>
      </c>
    </row>
    <row r="32" spans="1:14">
      <c r="A32" s="3" t="s">
        <v>131</v>
      </c>
      <c r="B32" s="7">
        <v>46272</v>
      </c>
      <c r="C32" s="3" t="s">
        <v>132</v>
      </c>
      <c r="D32" t="s">
        <v>49</v>
      </c>
      <c r="E32" t="s">
        <v>23</v>
      </c>
      <c r="F32" t="s">
        <v>89</v>
      </c>
      <c r="G32" s="3">
        <v>2</v>
      </c>
      <c r="H32" s="5">
        <v>2199</v>
      </c>
      <c r="I32" s="3">
        <v>5</v>
      </c>
      <c r="J32" t="s">
        <v>39</v>
      </c>
      <c r="K32" t="s">
        <v>65</v>
      </c>
      <c r="L32" t="s">
        <v>70</v>
      </c>
      <c r="M32" s="9">
        <f t="shared" si="0"/>
        <v>4178.0999999999995</v>
      </c>
      <c r="N32" s="11">
        <v>46266</v>
      </c>
    </row>
    <row r="33" spans="1:14">
      <c r="A33" s="3" t="s">
        <v>133</v>
      </c>
      <c r="B33" s="7">
        <v>46183</v>
      </c>
      <c r="C33" s="3" t="s">
        <v>134</v>
      </c>
      <c r="D33" t="s">
        <v>30</v>
      </c>
      <c r="E33" t="s">
        <v>81</v>
      </c>
      <c r="F33" t="s">
        <v>128</v>
      </c>
      <c r="G33" s="3">
        <v>1</v>
      </c>
      <c r="H33" s="5">
        <v>899</v>
      </c>
      <c r="I33" s="3">
        <v>0</v>
      </c>
      <c r="J33" t="s">
        <v>33</v>
      </c>
      <c r="K33" t="s">
        <v>97</v>
      </c>
      <c r="L33" t="s">
        <v>35</v>
      </c>
      <c r="M33" s="9">
        <f t="shared" si="0"/>
        <v>899</v>
      </c>
      <c r="N33" s="11">
        <v>46174</v>
      </c>
    </row>
    <row r="34" spans="1:14">
      <c r="A34" s="3" t="s">
        <v>135</v>
      </c>
      <c r="B34" s="7">
        <v>46118</v>
      </c>
      <c r="C34" s="3" t="s">
        <v>136</v>
      </c>
      <c r="D34" t="s">
        <v>106</v>
      </c>
      <c r="E34" t="s">
        <v>81</v>
      </c>
      <c r="F34" t="s">
        <v>128</v>
      </c>
      <c r="G34" s="3">
        <v>1</v>
      </c>
      <c r="H34" s="5">
        <v>899</v>
      </c>
      <c r="I34" s="3">
        <v>15</v>
      </c>
      <c r="J34" t="s">
        <v>18</v>
      </c>
      <c r="K34" t="s">
        <v>19</v>
      </c>
      <c r="L34" t="s">
        <v>137</v>
      </c>
      <c r="M34" s="9">
        <f t="shared" si="0"/>
        <v>764.15</v>
      </c>
      <c r="N34" s="11">
        <v>46113</v>
      </c>
    </row>
    <row r="35" spans="1:14">
      <c r="A35" s="3" t="s">
        <v>138</v>
      </c>
      <c r="B35" s="7">
        <v>46149</v>
      </c>
      <c r="C35" s="3" t="s">
        <v>139</v>
      </c>
      <c r="D35" t="s">
        <v>54</v>
      </c>
      <c r="E35" t="s">
        <v>44</v>
      </c>
      <c r="F35" t="s">
        <v>64</v>
      </c>
      <c r="G35" s="3">
        <v>5</v>
      </c>
      <c r="H35" s="5">
        <v>899</v>
      </c>
      <c r="I35" s="3">
        <v>15</v>
      </c>
      <c r="J35" t="s">
        <v>18</v>
      </c>
      <c r="K35" t="s">
        <v>26</v>
      </c>
      <c r="L35" t="s">
        <v>140</v>
      </c>
      <c r="M35" s="9">
        <f t="shared" si="0"/>
        <v>3820.75</v>
      </c>
      <c r="N35" s="11">
        <v>46143</v>
      </c>
    </row>
    <row r="36" spans="1:14">
      <c r="A36" s="3" t="s">
        <v>141</v>
      </c>
      <c r="B36" s="7">
        <v>46290</v>
      </c>
      <c r="C36" s="3" t="s">
        <v>142</v>
      </c>
      <c r="D36" t="s">
        <v>15</v>
      </c>
      <c r="E36" t="s">
        <v>81</v>
      </c>
      <c r="F36" t="s">
        <v>107</v>
      </c>
      <c r="G36" s="3">
        <v>3</v>
      </c>
      <c r="H36" s="5">
        <v>2899</v>
      </c>
      <c r="I36" s="3">
        <v>10</v>
      </c>
      <c r="J36" t="s">
        <v>25</v>
      </c>
      <c r="K36" t="s">
        <v>19</v>
      </c>
      <c r="L36" t="s">
        <v>46</v>
      </c>
      <c r="M36" s="9">
        <f t="shared" si="0"/>
        <v>7827.3</v>
      </c>
      <c r="N36" s="11">
        <v>46266</v>
      </c>
    </row>
    <row r="37" spans="1:14">
      <c r="A37" s="3" t="s">
        <v>143</v>
      </c>
      <c r="B37" s="7">
        <v>46090</v>
      </c>
      <c r="C37" s="3" t="s">
        <v>144</v>
      </c>
      <c r="D37" t="s">
        <v>73</v>
      </c>
      <c r="E37" t="s">
        <v>16</v>
      </c>
      <c r="F37" t="s">
        <v>111</v>
      </c>
      <c r="G37" s="3">
        <v>3</v>
      </c>
      <c r="H37" s="5">
        <v>1999</v>
      </c>
      <c r="I37" s="3">
        <v>10</v>
      </c>
      <c r="J37" t="s">
        <v>39</v>
      </c>
      <c r="K37" t="s">
        <v>40</v>
      </c>
      <c r="L37" t="s">
        <v>145</v>
      </c>
      <c r="M37" s="9">
        <f t="shared" si="0"/>
        <v>5397.3</v>
      </c>
      <c r="N37" s="11">
        <v>46082</v>
      </c>
    </row>
    <row r="38" spans="1:14">
      <c r="A38" s="3" t="s">
        <v>146</v>
      </c>
      <c r="B38" s="7">
        <v>46074</v>
      </c>
      <c r="C38" s="3" t="s">
        <v>147</v>
      </c>
      <c r="D38" t="s">
        <v>30</v>
      </c>
      <c r="E38" t="s">
        <v>81</v>
      </c>
      <c r="F38" t="s">
        <v>107</v>
      </c>
      <c r="G38" s="3">
        <v>1</v>
      </c>
      <c r="H38" s="5">
        <v>2899</v>
      </c>
      <c r="I38" s="3">
        <v>15</v>
      </c>
      <c r="J38" t="s">
        <v>25</v>
      </c>
      <c r="K38" t="s">
        <v>26</v>
      </c>
      <c r="L38" t="s">
        <v>148</v>
      </c>
      <c r="M38" s="9">
        <f t="shared" si="0"/>
        <v>2464.15</v>
      </c>
      <c r="N38" s="11">
        <v>46054</v>
      </c>
    </row>
    <row r="39" spans="1:14">
      <c r="A39" s="3" t="s">
        <v>149</v>
      </c>
      <c r="B39" s="7">
        <v>46148</v>
      </c>
      <c r="C39" s="3" t="s">
        <v>150</v>
      </c>
      <c r="D39" t="s">
        <v>63</v>
      </c>
      <c r="E39" t="s">
        <v>16</v>
      </c>
      <c r="F39" t="s">
        <v>74</v>
      </c>
      <c r="G39" s="3">
        <v>3</v>
      </c>
      <c r="H39" s="5">
        <v>1299</v>
      </c>
      <c r="I39" s="3">
        <v>10</v>
      </c>
      <c r="J39" t="s">
        <v>25</v>
      </c>
      <c r="K39" t="s">
        <v>97</v>
      </c>
      <c r="L39" t="s">
        <v>151</v>
      </c>
      <c r="M39" s="9">
        <f t="shared" si="0"/>
        <v>3507.3</v>
      </c>
      <c r="N39" s="11">
        <v>46143</v>
      </c>
    </row>
    <row r="40" spans="1:14">
      <c r="A40" s="3" t="s">
        <v>152</v>
      </c>
      <c r="B40" s="7">
        <v>46176</v>
      </c>
      <c r="C40" s="3" t="s">
        <v>153</v>
      </c>
      <c r="D40" t="s">
        <v>63</v>
      </c>
      <c r="E40" t="s">
        <v>81</v>
      </c>
      <c r="F40" t="s">
        <v>128</v>
      </c>
      <c r="G40" s="3">
        <v>1</v>
      </c>
      <c r="H40" s="5">
        <v>899</v>
      </c>
      <c r="I40" s="3">
        <v>5</v>
      </c>
      <c r="J40" t="s">
        <v>39</v>
      </c>
      <c r="K40" t="s">
        <v>40</v>
      </c>
      <c r="L40" t="s">
        <v>66</v>
      </c>
      <c r="M40" s="9">
        <f t="shared" si="0"/>
        <v>854.05</v>
      </c>
      <c r="N40" s="11">
        <v>46174</v>
      </c>
    </row>
    <row r="41" spans="1:14">
      <c r="A41" s="3" t="s">
        <v>154</v>
      </c>
      <c r="B41" s="7">
        <v>46162</v>
      </c>
      <c r="C41" s="3" t="s">
        <v>155</v>
      </c>
      <c r="D41" t="s">
        <v>15</v>
      </c>
      <c r="E41" t="s">
        <v>81</v>
      </c>
      <c r="F41" t="s">
        <v>119</v>
      </c>
      <c r="G41" s="3">
        <v>3</v>
      </c>
      <c r="H41" s="5">
        <v>2499</v>
      </c>
      <c r="I41" s="3">
        <v>15</v>
      </c>
      <c r="J41" t="s">
        <v>25</v>
      </c>
      <c r="K41" t="s">
        <v>19</v>
      </c>
      <c r="L41" t="s">
        <v>27</v>
      </c>
      <c r="M41" s="9">
        <f t="shared" si="0"/>
        <v>6372.45</v>
      </c>
      <c r="N41" s="11">
        <v>46143</v>
      </c>
    </row>
    <row r="42" spans="1:14">
      <c r="A42" s="3" t="s">
        <v>156</v>
      </c>
      <c r="B42" s="7">
        <v>46273</v>
      </c>
      <c r="C42" s="3" t="s">
        <v>157</v>
      </c>
      <c r="D42" t="s">
        <v>73</v>
      </c>
      <c r="E42" t="s">
        <v>16</v>
      </c>
      <c r="F42" t="s">
        <v>69</v>
      </c>
      <c r="G42" s="3">
        <v>3</v>
      </c>
      <c r="H42" s="5">
        <v>699</v>
      </c>
      <c r="I42" s="3">
        <v>0</v>
      </c>
      <c r="J42" t="s">
        <v>18</v>
      </c>
      <c r="K42" t="s">
        <v>19</v>
      </c>
      <c r="L42" t="s">
        <v>145</v>
      </c>
      <c r="M42" s="9">
        <f t="shared" si="0"/>
        <v>2097</v>
      </c>
      <c r="N42" s="11">
        <v>46266</v>
      </c>
    </row>
    <row r="43" spans="1:14">
      <c r="A43" s="3" t="s">
        <v>158</v>
      </c>
      <c r="B43" s="7">
        <v>46193</v>
      </c>
      <c r="C43" s="3" t="s">
        <v>159</v>
      </c>
      <c r="D43" t="s">
        <v>59</v>
      </c>
      <c r="E43" t="s">
        <v>44</v>
      </c>
      <c r="F43" t="s">
        <v>55</v>
      </c>
      <c r="G43" s="3">
        <v>2</v>
      </c>
      <c r="H43" s="5">
        <v>799</v>
      </c>
      <c r="I43" s="3">
        <v>20</v>
      </c>
      <c r="J43" t="s">
        <v>39</v>
      </c>
      <c r="K43" t="s">
        <v>65</v>
      </c>
      <c r="L43" t="s">
        <v>60</v>
      </c>
      <c r="M43" s="9">
        <f t="shared" si="0"/>
        <v>1278.4000000000001</v>
      </c>
      <c r="N43" s="11">
        <v>46174</v>
      </c>
    </row>
    <row r="44" spans="1:14">
      <c r="A44" s="3" t="s">
        <v>160</v>
      </c>
      <c r="B44" s="7">
        <v>46027</v>
      </c>
      <c r="C44" s="3" t="s">
        <v>161</v>
      </c>
      <c r="D44" t="s">
        <v>49</v>
      </c>
      <c r="E44" t="s">
        <v>23</v>
      </c>
      <c r="F44" t="s">
        <v>89</v>
      </c>
      <c r="G44" s="3">
        <v>1</v>
      </c>
      <c r="H44" s="5">
        <v>2199</v>
      </c>
      <c r="I44" s="3">
        <v>0</v>
      </c>
      <c r="J44" t="s">
        <v>25</v>
      </c>
      <c r="K44" t="s">
        <v>26</v>
      </c>
      <c r="L44" t="s">
        <v>51</v>
      </c>
      <c r="M44" s="9">
        <f t="shared" si="0"/>
        <v>2199</v>
      </c>
      <c r="N44" s="11">
        <v>46023</v>
      </c>
    </row>
    <row r="45" spans="1:14">
      <c r="A45" s="3" t="s">
        <v>162</v>
      </c>
      <c r="B45" s="7">
        <v>46098</v>
      </c>
      <c r="C45" s="3" t="s">
        <v>163</v>
      </c>
      <c r="D45" t="s">
        <v>30</v>
      </c>
      <c r="E45" t="s">
        <v>81</v>
      </c>
      <c r="F45" t="s">
        <v>107</v>
      </c>
      <c r="G45" s="3">
        <v>4</v>
      </c>
      <c r="H45" s="5">
        <v>2899</v>
      </c>
      <c r="I45" s="3">
        <v>5</v>
      </c>
      <c r="J45" t="s">
        <v>18</v>
      </c>
      <c r="K45" t="s">
        <v>34</v>
      </c>
      <c r="L45" t="s">
        <v>148</v>
      </c>
      <c r="M45" s="9">
        <f t="shared" si="0"/>
        <v>11016.199999999999</v>
      </c>
      <c r="N45" s="11">
        <v>46082</v>
      </c>
    </row>
    <row r="46" spans="1:14">
      <c r="A46" s="3" t="s">
        <v>164</v>
      </c>
      <c r="B46" s="7">
        <v>46150</v>
      </c>
      <c r="C46" s="3" t="s">
        <v>165</v>
      </c>
      <c r="D46" t="s">
        <v>73</v>
      </c>
      <c r="E46" t="s">
        <v>16</v>
      </c>
      <c r="F46" t="s">
        <v>17</v>
      </c>
      <c r="G46" s="3">
        <v>1</v>
      </c>
      <c r="H46" s="5">
        <v>2499</v>
      </c>
      <c r="I46" s="3">
        <v>10</v>
      </c>
      <c r="J46" t="s">
        <v>33</v>
      </c>
      <c r="K46" t="s">
        <v>97</v>
      </c>
      <c r="L46" t="s">
        <v>145</v>
      </c>
      <c r="M46" s="9">
        <f t="shared" si="0"/>
        <v>2249.1</v>
      </c>
      <c r="N46" s="11">
        <v>46143</v>
      </c>
    </row>
    <row r="47" spans="1:14">
      <c r="A47" s="3" t="s">
        <v>166</v>
      </c>
      <c r="B47" s="7">
        <v>46234</v>
      </c>
      <c r="C47" s="3" t="s">
        <v>167</v>
      </c>
      <c r="D47" t="s">
        <v>106</v>
      </c>
      <c r="E47" t="s">
        <v>31</v>
      </c>
      <c r="F47" t="s">
        <v>168</v>
      </c>
      <c r="G47" s="3">
        <v>1</v>
      </c>
      <c r="H47" s="5">
        <v>3299</v>
      </c>
      <c r="I47" s="3">
        <v>5</v>
      </c>
      <c r="J47" t="s">
        <v>39</v>
      </c>
      <c r="K47" t="s">
        <v>97</v>
      </c>
      <c r="L47" t="s">
        <v>137</v>
      </c>
      <c r="M47" s="9">
        <f t="shared" si="0"/>
        <v>3134.0499999999997</v>
      </c>
      <c r="N47" s="11">
        <v>46204</v>
      </c>
    </row>
    <row r="48" spans="1:14">
      <c r="A48" s="3" t="s">
        <v>169</v>
      </c>
      <c r="B48" s="7">
        <v>46218</v>
      </c>
      <c r="C48" s="3" t="s">
        <v>170</v>
      </c>
      <c r="D48" t="s">
        <v>54</v>
      </c>
      <c r="E48" t="s">
        <v>31</v>
      </c>
      <c r="F48" t="s">
        <v>171</v>
      </c>
      <c r="G48" s="3">
        <v>1</v>
      </c>
      <c r="H48" s="5">
        <v>1599</v>
      </c>
      <c r="I48" s="3">
        <v>10</v>
      </c>
      <c r="J48" t="s">
        <v>25</v>
      </c>
      <c r="K48" t="s">
        <v>65</v>
      </c>
      <c r="L48" t="s">
        <v>140</v>
      </c>
      <c r="M48" s="9">
        <f t="shared" si="0"/>
        <v>1439.1000000000001</v>
      </c>
      <c r="N48" s="11">
        <v>46204</v>
      </c>
    </row>
    <row r="49" spans="1:14">
      <c r="A49" s="3" t="s">
        <v>172</v>
      </c>
      <c r="B49" s="7">
        <v>46137</v>
      </c>
      <c r="C49" s="3" t="s">
        <v>173</v>
      </c>
      <c r="D49" t="s">
        <v>49</v>
      </c>
      <c r="E49" t="s">
        <v>16</v>
      </c>
      <c r="F49" t="s">
        <v>17</v>
      </c>
      <c r="G49" s="3">
        <v>1</v>
      </c>
      <c r="H49" s="5">
        <v>2499</v>
      </c>
      <c r="I49" s="3">
        <v>20</v>
      </c>
      <c r="J49" t="s">
        <v>25</v>
      </c>
      <c r="K49" t="s">
        <v>97</v>
      </c>
      <c r="L49" t="s">
        <v>70</v>
      </c>
      <c r="M49" s="9">
        <f t="shared" si="0"/>
        <v>1999.2</v>
      </c>
      <c r="N49" s="11">
        <v>46113</v>
      </c>
    </row>
    <row r="50" spans="1:14">
      <c r="A50" s="3" t="s">
        <v>174</v>
      </c>
      <c r="B50" s="7">
        <v>46202</v>
      </c>
      <c r="C50" s="3" t="s">
        <v>175</v>
      </c>
      <c r="D50" t="s">
        <v>73</v>
      </c>
      <c r="E50" t="s">
        <v>44</v>
      </c>
      <c r="F50" t="s">
        <v>45</v>
      </c>
      <c r="G50" s="3">
        <v>5</v>
      </c>
      <c r="H50" s="5">
        <v>1199</v>
      </c>
      <c r="I50" s="3">
        <v>10</v>
      </c>
      <c r="J50" t="s">
        <v>33</v>
      </c>
      <c r="K50" t="s">
        <v>34</v>
      </c>
      <c r="L50" t="s">
        <v>75</v>
      </c>
      <c r="M50" s="9">
        <f t="shared" si="0"/>
        <v>5395.5</v>
      </c>
      <c r="N50" s="11">
        <v>46174</v>
      </c>
    </row>
    <row r="51" spans="1:14">
      <c r="A51" s="3" t="s">
        <v>176</v>
      </c>
      <c r="B51" s="7">
        <v>46158</v>
      </c>
      <c r="C51" s="3" t="s">
        <v>177</v>
      </c>
      <c r="D51" t="s">
        <v>30</v>
      </c>
      <c r="E51" t="s">
        <v>16</v>
      </c>
      <c r="F51" t="s">
        <v>17</v>
      </c>
      <c r="G51" s="3">
        <v>1</v>
      </c>
      <c r="H51" s="5">
        <v>2499</v>
      </c>
      <c r="I51" s="3">
        <v>0</v>
      </c>
      <c r="J51" t="s">
        <v>33</v>
      </c>
      <c r="K51" t="s">
        <v>97</v>
      </c>
      <c r="L51" t="s">
        <v>41</v>
      </c>
      <c r="M51" s="9">
        <f t="shared" si="0"/>
        <v>2499</v>
      </c>
      <c r="N51" s="11">
        <v>46143</v>
      </c>
    </row>
    <row r="52" spans="1:14">
      <c r="A52" s="3" t="s">
        <v>178</v>
      </c>
      <c r="B52" s="7">
        <v>46284</v>
      </c>
      <c r="C52" s="3" t="s">
        <v>179</v>
      </c>
      <c r="D52" t="s">
        <v>73</v>
      </c>
      <c r="E52" t="s">
        <v>16</v>
      </c>
      <c r="F52" t="s">
        <v>111</v>
      </c>
      <c r="G52" s="3">
        <v>1</v>
      </c>
      <c r="H52" s="5">
        <v>1999</v>
      </c>
      <c r="I52" s="3">
        <v>10</v>
      </c>
      <c r="J52" t="s">
        <v>33</v>
      </c>
      <c r="K52" t="s">
        <v>65</v>
      </c>
      <c r="L52" t="s">
        <v>180</v>
      </c>
      <c r="M52" s="9">
        <f t="shared" si="0"/>
        <v>1799.1000000000001</v>
      </c>
      <c r="N52" s="11">
        <v>46266</v>
      </c>
    </row>
    <row r="53" spans="1:14">
      <c r="A53" s="3" t="s">
        <v>181</v>
      </c>
      <c r="B53" s="7">
        <v>46289</v>
      </c>
      <c r="C53" s="3" t="s">
        <v>182</v>
      </c>
      <c r="D53" t="s">
        <v>63</v>
      </c>
      <c r="E53" t="s">
        <v>23</v>
      </c>
      <c r="F53" t="s">
        <v>24</v>
      </c>
      <c r="G53" s="3">
        <v>5</v>
      </c>
      <c r="H53" s="5">
        <v>399</v>
      </c>
      <c r="I53" s="3">
        <v>20</v>
      </c>
      <c r="J53" t="s">
        <v>25</v>
      </c>
      <c r="K53" t="s">
        <v>34</v>
      </c>
      <c r="L53" t="s">
        <v>151</v>
      </c>
      <c r="M53" s="9">
        <f t="shared" si="0"/>
        <v>1596</v>
      </c>
      <c r="N53" s="11">
        <v>46266</v>
      </c>
    </row>
    <row r="54" spans="1:14">
      <c r="A54" s="3" t="s">
        <v>183</v>
      </c>
      <c r="B54" s="7">
        <v>46183</v>
      </c>
      <c r="C54" s="3" t="s">
        <v>184</v>
      </c>
      <c r="D54" t="s">
        <v>59</v>
      </c>
      <c r="E54" t="s">
        <v>16</v>
      </c>
      <c r="F54" t="s">
        <v>69</v>
      </c>
      <c r="G54" s="3">
        <v>1</v>
      </c>
      <c r="H54" s="5">
        <v>699</v>
      </c>
      <c r="I54" s="3">
        <v>20</v>
      </c>
      <c r="J54" t="s">
        <v>39</v>
      </c>
      <c r="K54" t="s">
        <v>26</v>
      </c>
      <c r="L54" t="s">
        <v>185</v>
      </c>
      <c r="M54" s="9">
        <f t="shared" si="0"/>
        <v>559.20000000000005</v>
      </c>
      <c r="N54" s="11">
        <v>46174</v>
      </c>
    </row>
    <row r="55" spans="1:14">
      <c r="A55" s="3" t="s">
        <v>186</v>
      </c>
      <c r="B55" s="7">
        <v>46229</v>
      </c>
      <c r="C55" s="3" t="s">
        <v>187</v>
      </c>
      <c r="D55" t="s">
        <v>63</v>
      </c>
      <c r="E55" t="s">
        <v>23</v>
      </c>
      <c r="F55" t="s">
        <v>38</v>
      </c>
      <c r="G55" s="3">
        <v>3</v>
      </c>
      <c r="H55" s="5">
        <v>1499</v>
      </c>
      <c r="I55" s="3">
        <v>15</v>
      </c>
      <c r="J55" t="s">
        <v>25</v>
      </c>
      <c r="K55" t="s">
        <v>65</v>
      </c>
      <c r="L55" t="s">
        <v>66</v>
      </c>
      <c r="M55" s="9">
        <f t="shared" si="0"/>
        <v>3822.45</v>
      </c>
      <c r="N55" s="11">
        <v>46204</v>
      </c>
    </row>
    <row r="56" spans="1:14">
      <c r="A56" s="3" t="s">
        <v>188</v>
      </c>
      <c r="B56" s="7">
        <v>46177</v>
      </c>
      <c r="C56" s="3" t="s">
        <v>189</v>
      </c>
      <c r="D56" t="s">
        <v>59</v>
      </c>
      <c r="E56" t="s">
        <v>23</v>
      </c>
      <c r="F56" t="s">
        <v>78</v>
      </c>
      <c r="G56" s="3">
        <v>4</v>
      </c>
      <c r="H56" s="5">
        <v>599</v>
      </c>
      <c r="I56" s="3">
        <v>15</v>
      </c>
      <c r="J56" t="s">
        <v>18</v>
      </c>
      <c r="K56" t="s">
        <v>34</v>
      </c>
      <c r="L56" t="s">
        <v>190</v>
      </c>
      <c r="M56" s="9">
        <f t="shared" si="0"/>
        <v>2036.6</v>
      </c>
      <c r="N56" s="11">
        <v>46174</v>
      </c>
    </row>
    <row r="57" spans="1:14">
      <c r="A57" s="3" t="s">
        <v>191</v>
      </c>
      <c r="B57" s="7">
        <v>46187</v>
      </c>
      <c r="C57" s="3" t="s">
        <v>192</v>
      </c>
      <c r="D57" t="s">
        <v>63</v>
      </c>
      <c r="E57" t="s">
        <v>23</v>
      </c>
      <c r="F57" t="s">
        <v>89</v>
      </c>
      <c r="G57" s="3">
        <v>4</v>
      </c>
      <c r="H57" s="5">
        <v>2199</v>
      </c>
      <c r="I57" s="3">
        <v>10</v>
      </c>
      <c r="J57" t="s">
        <v>85</v>
      </c>
      <c r="K57" t="s">
        <v>19</v>
      </c>
      <c r="L57" t="s">
        <v>151</v>
      </c>
      <c r="M57" s="9">
        <f t="shared" si="0"/>
        <v>7916.4000000000005</v>
      </c>
      <c r="N57" s="11">
        <v>46174</v>
      </c>
    </row>
    <row r="58" spans="1:14">
      <c r="A58" s="3" t="s">
        <v>193</v>
      </c>
      <c r="B58" s="7">
        <v>46066</v>
      </c>
      <c r="C58" s="3" t="s">
        <v>194</v>
      </c>
      <c r="D58" t="s">
        <v>54</v>
      </c>
      <c r="E58" t="s">
        <v>23</v>
      </c>
      <c r="F58" t="s">
        <v>78</v>
      </c>
      <c r="G58" s="3">
        <v>3</v>
      </c>
      <c r="H58" s="5">
        <v>599</v>
      </c>
      <c r="I58" s="3">
        <v>15</v>
      </c>
      <c r="J58" t="s">
        <v>33</v>
      </c>
      <c r="K58" t="s">
        <v>34</v>
      </c>
      <c r="L58" t="s">
        <v>56</v>
      </c>
      <c r="M58" s="9">
        <f t="shared" si="0"/>
        <v>1527.45</v>
      </c>
      <c r="N58" s="11">
        <v>46054</v>
      </c>
    </row>
    <row r="59" spans="1:14">
      <c r="A59" s="3" t="s">
        <v>195</v>
      </c>
      <c r="B59" s="7">
        <v>46124</v>
      </c>
      <c r="C59" s="3" t="s">
        <v>196</v>
      </c>
      <c r="D59" t="s">
        <v>15</v>
      </c>
      <c r="E59" t="s">
        <v>16</v>
      </c>
      <c r="F59" t="s">
        <v>17</v>
      </c>
      <c r="G59" s="3">
        <v>2</v>
      </c>
      <c r="H59" s="5">
        <v>2499</v>
      </c>
      <c r="I59" s="3">
        <v>0</v>
      </c>
      <c r="J59" t="s">
        <v>18</v>
      </c>
      <c r="K59" t="s">
        <v>65</v>
      </c>
      <c r="L59" t="s">
        <v>20</v>
      </c>
      <c r="M59" s="9">
        <f t="shared" si="0"/>
        <v>4998</v>
      </c>
      <c r="N59" s="11">
        <v>46113</v>
      </c>
    </row>
    <row r="60" spans="1:14">
      <c r="A60" s="3" t="s">
        <v>197</v>
      </c>
      <c r="B60" s="7">
        <v>46235</v>
      </c>
      <c r="C60" s="3" t="s">
        <v>198</v>
      </c>
      <c r="D60" t="s">
        <v>49</v>
      </c>
      <c r="E60" t="s">
        <v>44</v>
      </c>
      <c r="F60" t="s">
        <v>50</v>
      </c>
      <c r="G60" s="3">
        <v>5</v>
      </c>
      <c r="H60" s="5">
        <v>1299</v>
      </c>
      <c r="I60" s="3">
        <v>5</v>
      </c>
      <c r="J60" t="s">
        <v>85</v>
      </c>
      <c r="K60" t="s">
        <v>97</v>
      </c>
      <c r="L60" t="s">
        <v>51</v>
      </c>
      <c r="M60" s="9">
        <f t="shared" si="0"/>
        <v>6170.25</v>
      </c>
      <c r="N60" s="11">
        <v>46235</v>
      </c>
    </row>
    <row r="61" spans="1:14">
      <c r="A61" s="3" t="s">
        <v>199</v>
      </c>
      <c r="B61" s="7">
        <v>46077</v>
      </c>
      <c r="C61" s="3" t="s">
        <v>200</v>
      </c>
      <c r="D61" t="s">
        <v>59</v>
      </c>
      <c r="E61" t="s">
        <v>31</v>
      </c>
      <c r="F61" t="s">
        <v>171</v>
      </c>
      <c r="G61" s="3">
        <v>4</v>
      </c>
      <c r="H61" s="5">
        <v>1599</v>
      </c>
      <c r="I61" s="3">
        <v>5</v>
      </c>
      <c r="J61" t="s">
        <v>25</v>
      </c>
      <c r="K61" t="s">
        <v>19</v>
      </c>
      <c r="L61" t="s">
        <v>185</v>
      </c>
      <c r="M61" s="9">
        <f t="shared" si="0"/>
        <v>6076.2</v>
      </c>
      <c r="N61" s="11">
        <v>46054</v>
      </c>
    </row>
    <row r="62" spans="1:14">
      <c r="A62" s="3" t="s">
        <v>201</v>
      </c>
      <c r="B62" s="7">
        <v>46085</v>
      </c>
      <c r="C62" s="3" t="s">
        <v>202</v>
      </c>
      <c r="D62" t="s">
        <v>49</v>
      </c>
      <c r="E62" t="s">
        <v>81</v>
      </c>
      <c r="F62" t="s">
        <v>119</v>
      </c>
      <c r="G62" s="3">
        <v>4</v>
      </c>
      <c r="H62" s="5">
        <v>2499</v>
      </c>
      <c r="I62" s="3">
        <v>5</v>
      </c>
      <c r="J62" t="s">
        <v>85</v>
      </c>
      <c r="K62" t="s">
        <v>19</v>
      </c>
      <c r="L62" t="s">
        <v>86</v>
      </c>
      <c r="M62" s="9">
        <f t="shared" si="0"/>
        <v>9496.1999999999989</v>
      </c>
      <c r="N62" s="11">
        <v>46082</v>
      </c>
    </row>
    <row r="63" spans="1:14">
      <c r="A63" s="3" t="s">
        <v>203</v>
      </c>
      <c r="B63" s="7">
        <v>46241</v>
      </c>
      <c r="C63" s="3" t="s">
        <v>204</v>
      </c>
      <c r="D63" t="s">
        <v>73</v>
      </c>
      <c r="E63" t="s">
        <v>81</v>
      </c>
      <c r="F63" t="s">
        <v>107</v>
      </c>
      <c r="G63" s="3">
        <v>5</v>
      </c>
      <c r="H63" s="5">
        <v>2899</v>
      </c>
      <c r="I63" s="3">
        <v>10</v>
      </c>
      <c r="J63" t="s">
        <v>25</v>
      </c>
      <c r="K63" t="s">
        <v>19</v>
      </c>
      <c r="L63" t="s">
        <v>75</v>
      </c>
      <c r="M63" s="9">
        <f t="shared" si="0"/>
        <v>13045.5</v>
      </c>
      <c r="N63" s="11">
        <v>46235</v>
      </c>
    </row>
    <row r="64" spans="1:14">
      <c r="A64" s="3" t="s">
        <v>205</v>
      </c>
      <c r="B64" s="7">
        <v>46164</v>
      </c>
      <c r="C64" s="3" t="s">
        <v>206</v>
      </c>
      <c r="D64" t="s">
        <v>49</v>
      </c>
      <c r="E64" t="s">
        <v>16</v>
      </c>
      <c r="F64" t="s">
        <v>17</v>
      </c>
      <c r="G64" s="3">
        <v>5</v>
      </c>
      <c r="H64" s="5">
        <v>2499</v>
      </c>
      <c r="I64" s="3">
        <v>10</v>
      </c>
      <c r="J64" t="s">
        <v>25</v>
      </c>
      <c r="K64" t="s">
        <v>34</v>
      </c>
      <c r="L64" t="s">
        <v>70</v>
      </c>
      <c r="M64" s="9">
        <f t="shared" si="0"/>
        <v>11245.5</v>
      </c>
      <c r="N64" s="11">
        <v>46143</v>
      </c>
    </row>
    <row r="65" spans="1:14">
      <c r="A65" s="3" t="s">
        <v>207</v>
      </c>
      <c r="B65" s="7">
        <v>46162</v>
      </c>
      <c r="C65" s="3" t="s">
        <v>208</v>
      </c>
      <c r="D65" t="s">
        <v>49</v>
      </c>
      <c r="E65" t="s">
        <v>16</v>
      </c>
      <c r="F65" t="s">
        <v>17</v>
      </c>
      <c r="G65" s="3">
        <v>3</v>
      </c>
      <c r="H65" s="5">
        <v>2499</v>
      </c>
      <c r="I65" s="3">
        <v>10</v>
      </c>
      <c r="J65" t="s">
        <v>33</v>
      </c>
      <c r="K65" t="s">
        <v>40</v>
      </c>
      <c r="L65" t="s">
        <v>86</v>
      </c>
      <c r="M65" s="9">
        <f t="shared" si="0"/>
        <v>6747.3</v>
      </c>
      <c r="N65" s="11">
        <v>46143</v>
      </c>
    </row>
    <row r="66" spans="1:14">
      <c r="A66" s="3" t="s">
        <v>209</v>
      </c>
      <c r="B66" s="7">
        <v>46101</v>
      </c>
      <c r="C66" s="3" t="s">
        <v>210</v>
      </c>
      <c r="D66" t="s">
        <v>106</v>
      </c>
      <c r="E66" t="s">
        <v>31</v>
      </c>
      <c r="F66" t="s">
        <v>211</v>
      </c>
      <c r="G66" s="3">
        <v>2</v>
      </c>
      <c r="H66" s="5">
        <v>2799</v>
      </c>
      <c r="I66" s="3">
        <v>0</v>
      </c>
      <c r="J66" t="s">
        <v>85</v>
      </c>
      <c r="K66" t="s">
        <v>97</v>
      </c>
      <c r="L66" t="s">
        <v>137</v>
      </c>
      <c r="M66" s="9">
        <f t="shared" si="0"/>
        <v>5598</v>
      </c>
      <c r="N66" s="11">
        <v>46082</v>
      </c>
    </row>
    <row r="67" spans="1:14">
      <c r="A67" s="3" t="s">
        <v>212</v>
      </c>
      <c r="B67" s="7">
        <v>46054</v>
      </c>
      <c r="C67" s="3" t="s">
        <v>213</v>
      </c>
      <c r="D67" t="s">
        <v>73</v>
      </c>
      <c r="E67" t="s">
        <v>23</v>
      </c>
      <c r="F67" t="s">
        <v>214</v>
      </c>
      <c r="G67" s="3">
        <v>2</v>
      </c>
      <c r="H67" s="5">
        <v>1899</v>
      </c>
      <c r="I67" s="3">
        <v>10</v>
      </c>
      <c r="J67" t="s">
        <v>85</v>
      </c>
      <c r="K67" t="s">
        <v>26</v>
      </c>
      <c r="L67" t="s">
        <v>180</v>
      </c>
      <c r="M67" s="9">
        <f t="shared" ref="M67:M130" si="1">G67*H67*(1-I67/100)</f>
        <v>3418.2000000000003</v>
      </c>
      <c r="N67" s="11">
        <v>46054</v>
      </c>
    </row>
    <row r="68" spans="1:14">
      <c r="A68" s="3" t="s">
        <v>215</v>
      </c>
      <c r="B68" s="7">
        <v>46026</v>
      </c>
      <c r="C68" s="3" t="s">
        <v>216</v>
      </c>
      <c r="D68" t="s">
        <v>30</v>
      </c>
      <c r="E68" t="s">
        <v>23</v>
      </c>
      <c r="F68" t="s">
        <v>214</v>
      </c>
      <c r="G68" s="3">
        <v>3</v>
      </c>
      <c r="H68" s="5">
        <v>1899</v>
      </c>
      <c r="I68" s="3">
        <v>10</v>
      </c>
      <c r="J68" t="s">
        <v>85</v>
      </c>
      <c r="K68" t="s">
        <v>97</v>
      </c>
      <c r="L68" t="s">
        <v>35</v>
      </c>
      <c r="M68" s="9">
        <f t="shared" si="1"/>
        <v>5127.3</v>
      </c>
      <c r="N68" s="11">
        <v>46023</v>
      </c>
    </row>
    <row r="69" spans="1:14">
      <c r="A69" s="3" t="s">
        <v>217</v>
      </c>
      <c r="B69" s="7">
        <v>46246</v>
      </c>
      <c r="C69" s="3" t="s">
        <v>218</v>
      </c>
      <c r="D69" t="s">
        <v>54</v>
      </c>
      <c r="E69" t="s">
        <v>31</v>
      </c>
      <c r="F69" t="s">
        <v>219</v>
      </c>
      <c r="G69" s="3">
        <v>4</v>
      </c>
      <c r="H69" s="5">
        <v>4999</v>
      </c>
      <c r="I69" s="3">
        <v>0</v>
      </c>
      <c r="J69" t="s">
        <v>85</v>
      </c>
      <c r="K69" t="s">
        <v>34</v>
      </c>
      <c r="L69" t="s">
        <v>140</v>
      </c>
      <c r="M69" s="9">
        <f t="shared" si="1"/>
        <v>19996</v>
      </c>
      <c r="N69" s="11">
        <v>46235</v>
      </c>
    </row>
    <row r="70" spans="1:14">
      <c r="A70" s="3" t="s">
        <v>220</v>
      </c>
      <c r="B70" s="7">
        <v>46088</v>
      </c>
      <c r="C70" s="3" t="s">
        <v>221</v>
      </c>
      <c r="D70" t="s">
        <v>59</v>
      </c>
      <c r="E70" t="s">
        <v>31</v>
      </c>
      <c r="F70" t="s">
        <v>211</v>
      </c>
      <c r="G70" s="3">
        <v>5</v>
      </c>
      <c r="H70" s="5">
        <v>2799</v>
      </c>
      <c r="I70" s="3">
        <v>15</v>
      </c>
      <c r="J70" t="s">
        <v>18</v>
      </c>
      <c r="K70" t="s">
        <v>97</v>
      </c>
      <c r="L70" t="s">
        <v>190</v>
      </c>
      <c r="M70" s="9">
        <f t="shared" si="1"/>
        <v>11895.75</v>
      </c>
      <c r="N70" s="11">
        <v>46082</v>
      </c>
    </row>
    <row r="71" spans="1:14">
      <c r="A71" s="3" t="s">
        <v>222</v>
      </c>
      <c r="B71" s="7">
        <v>46259</v>
      </c>
      <c r="C71" s="3" t="s">
        <v>223</v>
      </c>
      <c r="D71" t="s">
        <v>30</v>
      </c>
      <c r="E71" t="s">
        <v>23</v>
      </c>
      <c r="F71" t="s">
        <v>78</v>
      </c>
      <c r="G71" s="3">
        <v>2</v>
      </c>
      <c r="H71" s="5">
        <v>599</v>
      </c>
      <c r="I71" s="3">
        <v>0</v>
      </c>
      <c r="J71" t="s">
        <v>39</v>
      </c>
      <c r="K71" t="s">
        <v>97</v>
      </c>
      <c r="L71" t="s">
        <v>41</v>
      </c>
      <c r="M71" s="9">
        <f t="shared" si="1"/>
        <v>1198</v>
      </c>
      <c r="N71" s="11">
        <v>46235</v>
      </c>
    </row>
    <row r="72" spans="1:14">
      <c r="A72" s="3" t="s">
        <v>224</v>
      </c>
      <c r="B72" s="7">
        <v>46195</v>
      </c>
      <c r="C72" s="3" t="s">
        <v>225</v>
      </c>
      <c r="D72" t="s">
        <v>73</v>
      </c>
      <c r="E72" t="s">
        <v>23</v>
      </c>
      <c r="F72" t="s">
        <v>38</v>
      </c>
      <c r="G72" s="3">
        <v>4</v>
      </c>
      <c r="H72" s="5">
        <v>1499</v>
      </c>
      <c r="I72" s="3">
        <v>10</v>
      </c>
      <c r="J72" t="s">
        <v>85</v>
      </c>
      <c r="K72" t="s">
        <v>34</v>
      </c>
      <c r="L72" t="s">
        <v>145</v>
      </c>
      <c r="M72" s="9">
        <f t="shared" si="1"/>
        <v>5396.4000000000005</v>
      </c>
      <c r="N72" s="11">
        <v>46174</v>
      </c>
    </row>
    <row r="73" spans="1:14">
      <c r="A73" s="3" t="s">
        <v>226</v>
      </c>
      <c r="B73" s="7">
        <v>46049</v>
      </c>
      <c r="C73" s="3" t="s">
        <v>227</v>
      </c>
      <c r="D73" t="s">
        <v>15</v>
      </c>
      <c r="E73" t="s">
        <v>44</v>
      </c>
      <c r="F73" t="s">
        <v>64</v>
      </c>
      <c r="G73" s="3">
        <v>3</v>
      </c>
      <c r="H73" s="5">
        <v>899</v>
      </c>
      <c r="I73" s="3">
        <v>5</v>
      </c>
      <c r="J73" t="s">
        <v>18</v>
      </c>
      <c r="K73" t="s">
        <v>19</v>
      </c>
      <c r="L73" t="s">
        <v>46</v>
      </c>
      <c r="M73" s="9">
        <f t="shared" si="1"/>
        <v>2562.15</v>
      </c>
      <c r="N73" s="11">
        <v>46023</v>
      </c>
    </row>
    <row r="74" spans="1:14">
      <c r="A74" s="3" t="s">
        <v>228</v>
      </c>
      <c r="B74" s="7">
        <v>46033</v>
      </c>
      <c r="C74" s="3" t="s">
        <v>229</v>
      </c>
      <c r="D74" t="s">
        <v>30</v>
      </c>
      <c r="E74" t="s">
        <v>31</v>
      </c>
      <c r="F74" t="s">
        <v>168</v>
      </c>
      <c r="G74" s="3">
        <v>5</v>
      </c>
      <c r="H74" s="5">
        <v>3299</v>
      </c>
      <c r="I74" s="3">
        <v>5</v>
      </c>
      <c r="J74" t="s">
        <v>25</v>
      </c>
      <c r="K74" t="s">
        <v>65</v>
      </c>
      <c r="L74" t="s">
        <v>41</v>
      </c>
      <c r="M74" s="9">
        <f t="shared" si="1"/>
        <v>15670.25</v>
      </c>
      <c r="N74" s="11">
        <v>46023</v>
      </c>
    </row>
    <row r="75" spans="1:14">
      <c r="A75" s="3" t="s">
        <v>230</v>
      </c>
      <c r="B75" s="7">
        <v>46134</v>
      </c>
      <c r="C75" s="3" t="s">
        <v>231</v>
      </c>
      <c r="D75" t="s">
        <v>49</v>
      </c>
      <c r="E75" t="s">
        <v>44</v>
      </c>
      <c r="F75" t="s">
        <v>64</v>
      </c>
      <c r="G75" s="3">
        <v>4</v>
      </c>
      <c r="H75" s="5">
        <v>899</v>
      </c>
      <c r="I75" s="3">
        <v>20</v>
      </c>
      <c r="J75" t="s">
        <v>39</v>
      </c>
      <c r="K75" t="s">
        <v>34</v>
      </c>
      <c r="L75" t="s">
        <v>51</v>
      </c>
      <c r="M75" s="9">
        <f t="shared" si="1"/>
        <v>2876.8</v>
      </c>
      <c r="N75" s="11">
        <v>46113</v>
      </c>
    </row>
    <row r="76" spans="1:14">
      <c r="A76" s="3" t="s">
        <v>232</v>
      </c>
      <c r="B76" s="7">
        <v>46106</v>
      </c>
      <c r="C76" s="3" t="s">
        <v>233</v>
      </c>
      <c r="D76" t="s">
        <v>106</v>
      </c>
      <c r="E76" t="s">
        <v>81</v>
      </c>
      <c r="F76" t="s">
        <v>128</v>
      </c>
      <c r="G76" s="3">
        <v>3</v>
      </c>
      <c r="H76" s="5">
        <v>899</v>
      </c>
      <c r="I76" s="3">
        <v>0</v>
      </c>
      <c r="J76" t="s">
        <v>33</v>
      </c>
      <c r="K76" t="s">
        <v>40</v>
      </c>
      <c r="L76" t="s">
        <v>234</v>
      </c>
      <c r="M76" s="9">
        <f t="shared" si="1"/>
        <v>2697</v>
      </c>
      <c r="N76" s="11">
        <v>46082</v>
      </c>
    </row>
    <row r="77" spans="1:14">
      <c r="A77" s="3" t="s">
        <v>235</v>
      </c>
      <c r="B77" s="7">
        <v>46124</v>
      </c>
      <c r="C77" s="3" t="s">
        <v>236</v>
      </c>
      <c r="D77" t="s">
        <v>63</v>
      </c>
      <c r="E77" t="s">
        <v>23</v>
      </c>
      <c r="F77" t="s">
        <v>214</v>
      </c>
      <c r="G77" s="3">
        <v>1</v>
      </c>
      <c r="H77" s="5">
        <v>1899</v>
      </c>
      <c r="I77" s="3">
        <v>15</v>
      </c>
      <c r="J77" t="s">
        <v>25</v>
      </c>
      <c r="K77" t="s">
        <v>40</v>
      </c>
      <c r="L77" t="s">
        <v>66</v>
      </c>
      <c r="M77" s="9">
        <f t="shared" si="1"/>
        <v>1614.1499999999999</v>
      </c>
      <c r="N77" s="11">
        <v>46113</v>
      </c>
    </row>
    <row r="78" spans="1:14">
      <c r="A78" s="3" t="s">
        <v>237</v>
      </c>
      <c r="B78" s="7">
        <v>46044</v>
      </c>
      <c r="C78" s="3" t="s">
        <v>238</v>
      </c>
      <c r="D78" t="s">
        <v>63</v>
      </c>
      <c r="E78" t="s">
        <v>81</v>
      </c>
      <c r="F78" t="s">
        <v>128</v>
      </c>
      <c r="G78" s="3">
        <v>3</v>
      </c>
      <c r="H78" s="5">
        <v>899</v>
      </c>
      <c r="I78" s="3">
        <v>15</v>
      </c>
      <c r="J78" t="s">
        <v>85</v>
      </c>
      <c r="K78" t="s">
        <v>19</v>
      </c>
      <c r="L78" t="s">
        <v>66</v>
      </c>
      <c r="M78" s="9">
        <f t="shared" si="1"/>
        <v>2292.4499999999998</v>
      </c>
      <c r="N78" s="11">
        <v>46023</v>
      </c>
    </row>
    <row r="79" spans="1:14">
      <c r="A79" s="3" t="s">
        <v>239</v>
      </c>
      <c r="B79" s="7">
        <v>46029</v>
      </c>
      <c r="C79" s="3" t="s">
        <v>240</v>
      </c>
      <c r="D79" t="s">
        <v>73</v>
      </c>
      <c r="E79" t="s">
        <v>81</v>
      </c>
      <c r="F79" t="s">
        <v>92</v>
      </c>
      <c r="G79" s="3">
        <v>4</v>
      </c>
      <c r="H79" s="5">
        <v>999</v>
      </c>
      <c r="I79" s="3">
        <v>10</v>
      </c>
      <c r="J79" t="s">
        <v>18</v>
      </c>
      <c r="K79" t="s">
        <v>97</v>
      </c>
      <c r="L79" t="s">
        <v>145</v>
      </c>
      <c r="M79" s="9">
        <f t="shared" si="1"/>
        <v>3596.4</v>
      </c>
      <c r="N79" s="11">
        <v>46023</v>
      </c>
    </row>
    <row r="80" spans="1:14">
      <c r="A80" s="3" t="s">
        <v>241</v>
      </c>
      <c r="B80" s="7">
        <v>46245</v>
      </c>
      <c r="C80" s="3" t="s">
        <v>242</v>
      </c>
      <c r="D80" t="s">
        <v>73</v>
      </c>
      <c r="E80" t="s">
        <v>23</v>
      </c>
      <c r="F80" t="s">
        <v>78</v>
      </c>
      <c r="G80" s="3">
        <v>2</v>
      </c>
      <c r="H80" s="5">
        <v>599</v>
      </c>
      <c r="I80" s="3">
        <v>20</v>
      </c>
      <c r="J80" t="s">
        <v>33</v>
      </c>
      <c r="K80" t="s">
        <v>19</v>
      </c>
      <c r="L80" t="s">
        <v>180</v>
      </c>
      <c r="M80" s="9">
        <f t="shared" si="1"/>
        <v>958.40000000000009</v>
      </c>
      <c r="N80" s="11">
        <v>46235</v>
      </c>
    </row>
    <row r="81" spans="1:14">
      <c r="A81" s="3" t="s">
        <v>243</v>
      </c>
      <c r="B81" s="7">
        <v>46261</v>
      </c>
      <c r="C81" s="3" t="s">
        <v>244</v>
      </c>
      <c r="D81" t="s">
        <v>63</v>
      </c>
      <c r="E81" t="s">
        <v>81</v>
      </c>
      <c r="F81" t="s">
        <v>82</v>
      </c>
      <c r="G81" s="3">
        <v>4</v>
      </c>
      <c r="H81" s="5">
        <v>1999</v>
      </c>
      <c r="I81" s="3">
        <v>20</v>
      </c>
      <c r="J81" t="s">
        <v>33</v>
      </c>
      <c r="K81" t="s">
        <v>34</v>
      </c>
      <c r="L81" t="s">
        <v>66</v>
      </c>
      <c r="M81" s="9">
        <f t="shared" si="1"/>
        <v>6396.8</v>
      </c>
      <c r="N81" s="11">
        <v>46235</v>
      </c>
    </row>
    <row r="82" spans="1:14">
      <c r="A82" s="3" t="s">
        <v>245</v>
      </c>
      <c r="B82" s="7">
        <v>46253</v>
      </c>
      <c r="C82" s="3" t="s">
        <v>246</v>
      </c>
      <c r="D82" t="s">
        <v>73</v>
      </c>
      <c r="E82" t="s">
        <v>44</v>
      </c>
      <c r="F82" t="s">
        <v>45</v>
      </c>
      <c r="G82" s="3">
        <v>2</v>
      </c>
      <c r="H82" s="5">
        <v>1199</v>
      </c>
      <c r="I82" s="3">
        <v>10</v>
      </c>
      <c r="J82" t="s">
        <v>33</v>
      </c>
      <c r="K82" t="s">
        <v>26</v>
      </c>
      <c r="L82" t="s">
        <v>145</v>
      </c>
      <c r="M82" s="9">
        <f t="shared" si="1"/>
        <v>2158.2000000000003</v>
      </c>
      <c r="N82" s="11">
        <v>46235</v>
      </c>
    </row>
    <row r="83" spans="1:14">
      <c r="A83" s="3" t="s">
        <v>247</v>
      </c>
      <c r="B83" s="7">
        <v>46189</v>
      </c>
      <c r="C83" s="3" t="s">
        <v>248</v>
      </c>
      <c r="D83" t="s">
        <v>59</v>
      </c>
      <c r="E83" t="s">
        <v>44</v>
      </c>
      <c r="F83" t="s">
        <v>50</v>
      </c>
      <c r="G83" s="3">
        <v>2</v>
      </c>
      <c r="H83" s="5">
        <v>1299</v>
      </c>
      <c r="I83" s="3">
        <v>10</v>
      </c>
      <c r="J83" t="s">
        <v>25</v>
      </c>
      <c r="K83" t="s">
        <v>34</v>
      </c>
      <c r="L83" t="s">
        <v>60</v>
      </c>
      <c r="M83" s="9">
        <f t="shared" si="1"/>
        <v>2338.2000000000003</v>
      </c>
      <c r="N83" s="11">
        <v>46174</v>
      </c>
    </row>
    <row r="84" spans="1:14">
      <c r="A84" s="3" t="s">
        <v>249</v>
      </c>
      <c r="B84" s="7">
        <v>46164</v>
      </c>
      <c r="C84" s="3" t="s">
        <v>250</v>
      </c>
      <c r="D84" t="s">
        <v>63</v>
      </c>
      <c r="E84" t="s">
        <v>16</v>
      </c>
      <c r="F84" t="s">
        <v>69</v>
      </c>
      <c r="G84" s="3">
        <v>5</v>
      </c>
      <c r="H84" s="5">
        <v>699</v>
      </c>
      <c r="I84" s="3">
        <v>0</v>
      </c>
      <c r="J84" t="s">
        <v>33</v>
      </c>
      <c r="K84" t="s">
        <v>65</v>
      </c>
      <c r="L84" t="s">
        <v>112</v>
      </c>
      <c r="M84" s="9">
        <f t="shared" si="1"/>
        <v>3495</v>
      </c>
      <c r="N84" s="11">
        <v>46143</v>
      </c>
    </row>
    <row r="85" spans="1:14">
      <c r="A85" s="3" t="s">
        <v>251</v>
      </c>
      <c r="B85" s="7">
        <v>46146</v>
      </c>
      <c r="C85" s="3" t="s">
        <v>252</v>
      </c>
      <c r="D85" t="s">
        <v>15</v>
      </c>
      <c r="E85" t="s">
        <v>23</v>
      </c>
      <c r="F85" t="s">
        <v>214</v>
      </c>
      <c r="G85" s="3">
        <v>4</v>
      </c>
      <c r="H85" s="5">
        <v>1899</v>
      </c>
      <c r="I85" s="3">
        <v>20</v>
      </c>
      <c r="J85" t="s">
        <v>85</v>
      </c>
      <c r="K85" t="s">
        <v>97</v>
      </c>
      <c r="L85" t="s">
        <v>20</v>
      </c>
      <c r="M85" s="9">
        <f t="shared" si="1"/>
        <v>6076.8</v>
      </c>
      <c r="N85" s="11">
        <v>46143</v>
      </c>
    </row>
    <row r="86" spans="1:14">
      <c r="A86" s="3" t="s">
        <v>253</v>
      </c>
      <c r="B86" s="7">
        <v>46230</v>
      </c>
      <c r="C86" s="3" t="s">
        <v>254</v>
      </c>
      <c r="D86" t="s">
        <v>30</v>
      </c>
      <c r="E86" t="s">
        <v>16</v>
      </c>
      <c r="F86" t="s">
        <v>17</v>
      </c>
      <c r="G86" s="3">
        <v>2</v>
      </c>
      <c r="H86" s="5">
        <v>2499</v>
      </c>
      <c r="I86" s="3">
        <v>10</v>
      </c>
      <c r="J86" t="s">
        <v>33</v>
      </c>
      <c r="K86" t="s">
        <v>34</v>
      </c>
      <c r="L86" t="s">
        <v>41</v>
      </c>
      <c r="M86" s="9">
        <f t="shared" si="1"/>
        <v>4498.2</v>
      </c>
      <c r="N86" s="11">
        <v>46204</v>
      </c>
    </row>
    <row r="87" spans="1:14">
      <c r="A87" s="3" t="s">
        <v>255</v>
      </c>
      <c r="B87" s="7">
        <v>46240</v>
      </c>
      <c r="C87" s="3" t="s">
        <v>256</v>
      </c>
      <c r="D87" t="s">
        <v>49</v>
      </c>
      <c r="E87" t="s">
        <v>81</v>
      </c>
      <c r="F87" t="s">
        <v>92</v>
      </c>
      <c r="G87" s="3">
        <v>5</v>
      </c>
      <c r="H87" s="5">
        <v>999</v>
      </c>
      <c r="I87" s="3">
        <v>10</v>
      </c>
      <c r="J87" t="s">
        <v>39</v>
      </c>
      <c r="K87" t="s">
        <v>19</v>
      </c>
      <c r="L87" t="s">
        <v>51</v>
      </c>
      <c r="M87" s="9">
        <f t="shared" si="1"/>
        <v>4495.5</v>
      </c>
      <c r="N87" s="11">
        <v>46235</v>
      </c>
    </row>
    <row r="88" spans="1:14">
      <c r="A88" s="3" t="s">
        <v>257</v>
      </c>
      <c r="B88" s="7">
        <v>46141</v>
      </c>
      <c r="C88" s="3" t="s">
        <v>258</v>
      </c>
      <c r="D88" t="s">
        <v>49</v>
      </c>
      <c r="E88" t="s">
        <v>16</v>
      </c>
      <c r="F88" t="s">
        <v>101</v>
      </c>
      <c r="G88" s="3">
        <v>1</v>
      </c>
      <c r="H88" s="5">
        <v>1799</v>
      </c>
      <c r="I88" s="3">
        <v>20</v>
      </c>
      <c r="J88" t="s">
        <v>25</v>
      </c>
      <c r="K88" t="s">
        <v>34</v>
      </c>
      <c r="L88" t="s">
        <v>70</v>
      </c>
      <c r="M88" s="9">
        <f t="shared" si="1"/>
        <v>1439.2</v>
      </c>
      <c r="N88" s="11">
        <v>46113</v>
      </c>
    </row>
    <row r="89" spans="1:14">
      <c r="A89" s="3" t="s">
        <v>259</v>
      </c>
      <c r="B89" s="7">
        <v>46121</v>
      </c>
      <c r="C89" s="3" t="s">
        <v>260</v>
      </c>
      <c r="D89" t="s">
        <v>15</v>
      </c>
      <c r="E89" t="s">
        <v>81</v>
      </c>
      <c r="F89" t="s">
        <v>119</v>
      </c>
      <c r="G89" s="3">
        <v>2</v>
      </c>
      <c r="H89" s="5">
        <v>2499</v>
      </c>
      <c r="I89" s="3">
        <v>20</v>
      </c>
      <c r="J89" t="s">
        <v>85</v>
      </c>
      <c r="K89" t="s">
        <v>34</v>
      </c>
      <c r="L89" t="s">
        <v>27</v>
      </c>
      <c r="M89" s="9">
        <f t="shared" si="1"/>
        <v>3998.4</v>
      </c>
      <c r="N89" s="11">
        <v>46113</v>
      </c>
    </row>
    <row r="90" spans="1:14">
      <c r="A90" s="3" t="s">
        <v>261</v>
      </c>
      <c r="B90" s="7">
        <v>46139</v>
      </c>
      <c r="C90" s="3" t="s">
        <v>262</v>
      </c>
      <c r="D90" t="s">
        <v>63</v>
      </c>
      <c r="E90" t="s">
        <v>31</v>
      </c>
      <c r="F90" t="s">
        <v>219</v>
      </c>
      <c r="G90" s="3">
        <v>3</v>
      </c>
      <c r="H90" s="5">
        <v>4999</v>
      </c>
      <c r="I90" s="3">
        <v>5</v>
      </c>
      <c r="J90" t="s">
        <v>39</v>
      </c>
      <c r="K90" t="s">
        <v>40</v>
      </c>
      <c r="L90" t="s">
        <v>151</v>
      </c>
      <c r="M90" s="9">
        <f t="shared" si="1"/>
        <v>14247.15</v>
      </c>
      <c r="N90" s="11">
        <v>46113</v>
      </c>
    </row>
    <row r="91" spans="1:14">
      <c r="A91" s="3" t="s">
        <v>263</v>
      </c>
      <c r="B91" s="7">
        <v>46172</v>
      </c>
      <c r="C91" s="3" t="s">
        <v>264</v>
      </c>
      <c r="D91" t="s">
        <v>106</v>
      </c>
      <c r="E91" t="s">
        <v>44</v>
      </c>
      <c r="F91" t="s">
        <v>55</v>
      </c>
      <c r="G91" s="3">
        <v>2</v>
      </c>
      <c r="H91" s="5">
        <v>799</v>
      </c>
      <c r="I91" s="3">
        <v>20</v>
      </c>
      <c r="J91" t="s">
        <v>85</v>
      </c>
      <c r="K91" t="s">
        <v>40</v>
      </c>
      <c r="L91" t="s">
        <v>108</v>
      </c>
      <c r="M91" s="9">
        <f t="shared" si="1"/>
        <v>1278.4000000000001</v>
      </c>
      <c r="N91" s="11">
        <v>46143</v>
      </c>
    </row>
    <row r="92" spans="1:14">
      <c r="A92" s="3" t="s">
        <v>265</v>
      </c>
      <c r="B92" s="7">
        <v>46268</v>
      </c>
      <c r="C92" s="3" t="s">
        <v>266</v>
      </c>
      <c r="D92" t="s">
        <v>30</v>
      </c>
      <c r="E92" t="s">
        <v>16</v>
      </c>
      <c r="F92" t="s">
        <v>111</v>
      </c>
      <c r="G92" s="3">
        <v>4</v>
      </c>
      <c r="H92" s="5">
        <v>1999</v>
      </c>
      <c r="I92" s="3">
        <v>10</v>
      </c>
      <c r="J92" t="s">
        <v>25</v>
      </c>
      <c r="K92" t="s">
        <v>40</v>
      </c>
      <c r="L92" t="s">
        <v>35</v>
      </c>
      <c r="M92" s="9">
        <f t="shared" si="1"/>
        <v>7196.4000000000005</v>
      </c>
      <c r="N92" s="11">
        <v>46266</v>
      </c>
    </row>
    <row r="93" spans="1:14">
      <c r="A93" s="3" t="s">
        <v>267</v>
      </c>
      <c r="B93" s="7">
        <v>46228</v>
      </c>
      <c r="C93" s="3" t="s">
        <v>268</v>
      </c>
      <c r="D93" t="s">
        <v>63</v>
      </c>
      <c r="E93" t="s">
        <v>44</v>
      </c>
      <c r="F93" t="s">
        <v>55</v>
      </c>
      <c r="G93" s="3">
        <v>4</v>
      </c>
      <c r="H93" s="5">
        <v>799</v>
      </c>
      <c r="I93" s="3">
        <v>0</v>
      </c>
      <c r="J93" t="s">
        <v>33</v>
      </c>
      <c r="K93" t="s">
        <v>19</v>
      </c>
      <c r="L93" t="s">
        <v>112</v>
      </c>
      <c r="M93" s="9">
        <f t="shared" si="1"/>
        <v>3196</v>
      </c>
      <c r="N93" s="11">
        <v>46204</v>
      </c>
    </row>
    <row r="94" spans="1:14">
      <c r="A94" s="3" t="s">
        <v>269</v>
      </c>
      <c r="B94" s="7">
        <v>46178</v>
      </c>
      <c r="C94" s="3" t="s">
        <v>270</v>
      </c>
      <c r="D94" t="s">
        <v>30</v>
      </c>
      <c r="E94" t="s">
        <v>31</v>
      </c>
      <c r="F94" t="s">
        <v>32</v>
      </c>
      <c r="G94" s="3">
        <v>1</v>
      </c>
      <c r="H94" s="5">
        <v>999</v>
      </c>
      <c r="I94" s="3">
        <v>5</v>
      </c>
      <c r="J94" t="s">
        <v>18</v>
      </c>
      <c r="K94" t="s">
        <v>26</v>
      </c>
      <c r="L94" t="s">
        <v>41</v>
      </c>
      <c r="M94" s="9">
        <f t="shared" si="1"/>
        <v>949.05</v>
      </c>
      <c r="N94" s="11">
        <v>46174</v>
      </c>
    </row>
    <row r="95" spans="1:14">
      <c r="A95" s="3" t="s">
        <v>271</v>
      </c>
      <c r="B95" s="7">
        <v>46138</v>
      </c>
      <c r="C95" s="3" t="s">
        <v>272</v>
      </c>
      <c r="D95" t="s">
        <v>59</v>
      </c>
      <c r="E95" t="s">
        <v>81</v>
      </c>
      <c r="F95" t="s">
        <v>107</v>
      </c>
      <c r="G95" s="3">
        <v>5</v>
      </c>
      <c r="H95" s="5">
        <v>2899</v>
      </c>
      <c r="I95" s="3">
        <v>10</v>
      </c>
      <c r="J95" t="s">
        <v>85</v>
      </c>
      <c r="K95" t="s">
        <v>97</v>
      </c>
      <c r="L95" t="s">
        <v>190</v>
      </c>
      <c r="M95" s="9">
        <f t="shared" si="1"/>
        <v>13045.5</v>
      </c>
      <c r="N95" s="11">
        <v>46113</v>
      </c>
    </row>
    <row r="96" spans="1:14">
      <c r="A96" s="3" t="s">
        <v>273</v>
      </c>
      <c r="B96" s="7">
        <v>46053</v>
      </c>
      <c r="C96" s="3" t="s">
        <v>274</v>
      </c>
      <c r="D96" t="s">
        <v>63</v>
      </c>
      <c r="E96" t="s">
        <v>23</v>
      </c>
      <c r="F96" t="s">
        <v>38</v>
      </c>
      <c r="G96" s="3">
        <v>5</v>
      </c>
      <c r="H96" s="5">
        <v>1499</v>
      </c>
      <c r="I96" s="3">
        <v>20</v>
      </c>
      <c r="J96" t="s">
        <v>18</v>
      </c>
      <c r="K96" t="s">
        <v>65</v>
      </c>
      <c r="L96" t="s">
        <v>66</v>
      </c>
      <c r="M96" s="9">
        <f t="shared" si="1"/>
        <v>5996</v>
      </c>
      <c r="N96" s="11">
        <v>46023</v>
      </c>
    </row>
    <row r="97" spans="1:14">
      <c r="A97" s="3" t="s">
        <v>275</v>
      </c>
      <c r="B97" s="7">
        <v>46145</v>
      </c>
      <c r="C97" s="3" t="s">
        <v>276</v>
      </c>
      <c r="D97" t="s">
        <v>54</v>
      </c>
      <c r="E97" t="s">
        <v>44</v>
      </c>
      <c r="F97" t="s">
        <v>277</v>
      </c>
      <c r="G97" s="3">
        <v>2</v>
      </c>
      <c r="H97" s="5">
        <v>1499</v>
      </c>
      <c r="I97" s="3">
        <v>15</v>
      </c>
      <c r="J97" t="s">
        <v>18</v>
      </c>
      <c r="K97" t="s">
        <v>65</v>
      </c>
      <c r="L97" t="s">
        <v>140</v>
      </c>
      <c r="M97" s="9">
        <f t="shared" si="1"/>
        <v>2548.2999999999997</v>
      </c>
      <c r="N97" s="11">
        <v>46143</v>
      </c>
    </row>
    <row r="98" spans="1:14">
      <c r="A98" s="3" t="s">
        <v>278</v>
      </c>
      <c r="B98" s="7">
        <v>46263</v>
      </c>
      <c r="C98" s="3" t="s">
        <v>279</v>
      </c>
      <c r="D98" t="s">
        <v>30</v>
      </c>
      <c r="E98" t="s">
        <v>23</v>
      </c>
      <c r="F98" t="s">
        <v>89</v>
      </c>
      <c r="G98" s="3">
        <v>3</v>
      </c>
      <c r="H98" s="5">
        <v>2199</v>
      </c>
      <c r="I98" s="3">
        <v>0</v>
      </c>
      <c r="J98" t="s">
        <v>25</v>
      </c>
      <c r="K98" t="s">
        <v>34</v>
      </c>
      <c r="L98" t="s">
        <v>148</v>
      </c>
      <c r="M98" s="9">
        <f t="shared" si="1"/>
        <v>6597</v>
      </c>
      <c r="N98" s="11">
        <v>46235</v>
      </c>
    </row>
    <row r="99" spans="1:14">
      <c r="A99" s="3" t="s">
        <v>280</v>
      </c>
      <c r="B99" s="7">
        <v>46142</v>
      </c>
      <c r="C99" s="3" t="s">
        <v>281</v>
      </c>
      <c r="D99" t="s">
        <v>63</v>
      </c>
      <c r="E99" t="s">
        <v>23</v>
      </c>
      <c r="F99" t="s">
        <v>24</v>
      </c>
      <c r="G99" s="3">
        <v>3</v>
      </c>
      <c r="H99" s="5">
        <v>399</v>
      </c>
      <c r="I99" s="3">
        <v>20</v>
      </c>
      <c r="J99" t="s">
        <v>33</v>
      </c>
      <c r="K99" t="s">
        <v>19</v>
      </c>
      <c r="L99" t="s">
        <v>66</v>
      </c>
      <c r="M99" s="9">
        <f t="shared" si="1"/>
        <v>957.6</v>
      </c>
      <c r="N99" s="11">
        <v>46113</v>
      </c>
    </row>
    <row r="100" spans="1:14">
      <c r="A100" s="3" t="s">
        <v>282</v>
      </c>
      <c r="B100" s="7">
        <v>46138</v>
      </c>
      <c r="C100" s="3" t="s">
        <v>283</v>
      </c>
      <c r="D100" t="s">
        <v>54</v>
      </c>
      <c r="E100" t="s">
        <v>44</v>
      </c>
      <c r="F100" t="s">
        <v>64</v>
      </c>
      <c r="G100" s="3">
        <v>2</v>
      </c>
      <c r="H100" s="5">
        <v>899</v>
      </c>
      <c r="I100" s="3">
        <v>10</v>
      </c>
      <c r="J100" t="s">
        <v>25</v>
      </c>
      <c r="K100" t="s">
        <v>40</v>
      </c>
      <c r="L100" t="s">
        <v>140</v>
      </c>
      <c r="M100" s="9">
        <f t="shared" si="1"/>
        <v>1618.2</v>
      </c>
      <c r="N100" s="11">
        <v>46113</v>
      </c>
    </row>
    <row r="101" spans="1:14">
      <c r="A101" s="3" t="s">
        <v>284</v>
      </c>
      <c r="B101" s="7">
        <v>46170</v>
      </c>
      <c r="C101" s="3" t="s">
        <v>285</v>
      </c>
      <c r="D101" t="s">
        <v>30</v>
      </c>
      <c r="E101" t="s">
        <v>16</v>
      </c>
      <c r="F101" t="s">
        <v>69</v>
      </c>
      <c r="G101" s="3">
        <v>4</v>
      </c>
      <c r="H101" s="5">
        <v>699</v>
      </c>
      <c r="I101" s="3">
        <v>0</v>
      </c>
      <c r="J101" t="s">
        <v>85</v>
      </c>
      <c r="K101" t="s">
        <v>19</v>
      </c>
      <c r="L101" t="s">
        <v>41</v>
      </c>
      <c r="M101" s="9">
        <f t="shared" si="1"/>
        <v>2796</v>
      </c>
      <c r="N101" s="11">
        <v>46143</v>
      </c>
    </row>
    <row r="102" spans="1:14">
      <c r="A102" s="3" t="s">
        <v>286</v>
      </c>
      <c r="B102" s="7">
        <v>46279</v>
      </c>
      <c r="C102" s="3" t="s">
        <v>287</v>
      </c>
      <c r="D102" t="s">
        <v>63</v>
      </c>
      <c r="E102" t="s">
        <v>23</v>
      </c>
      <c r="F102" t="s">
        <v>38</v>
      </c>
      <c r="G102" s="3">
        <v>5</v>
      </c>
      <c r="H102" s="5">
        <v>1499</v>
      </c>
      <c r="I102" s="3">
        <v>10</v>
      </c>
      <c r="J102" t="s">
        <v>85</v>
      </c>
      <c r="K102" t="s">
        <v>40</v>
      </c>
      <c r="L102" t="s">
        <v>66</v>
      </c>
      <c r="M102" s="9">
        <f t="shared" si="1"/>
        <v>6745.5</v>
      </c>
      <c r="N102" s="11">
        <v>46266</v>
      </c>
    </row>
    <row r="103" spans="1:14">
      <c r="A103" s="3" t="s">
        <v>288</v>
      </c>
      <c r="B103" s="7">
        <v>46151</v>
      </c>
      <c r="C103" s="3" t="s">
        <v>289</v>
      </c>
      <c r="D103" t="s">
        <v>30</v>
      </c>
      <c r="E103" t="s">
        <v>16</v>
      </c>
      <c r="F103" t="s">
        <v>69</v>
      </c>
      <c r="G103" s="3">
        <v>1</v>
      </c>
      <c r="H103" s="5">
        <v>699</v>
      </c>
      <c r="I103" s="3">
        <v>0</v>
      </c>
      <c r="J103" t="s">
        <v>25</v>
      </c>
      <c r="K103" t="s">
        <v>19</v>
      </c>
      <c r="L103" t="s">
        <v>148</v>
      </c>
      <c r="M103" s="9">
        <f t="shared" si="1"/>
        <v>699</v>
      </c>
      <c r="N103" s="11">
        <v>46143</v>
      </c>
    </row>
    <row r="104" spans="1:14">
      <c r="A104" s="3" t="s">
        <v>290</v>
      </c>
      <c r="B104" s="7">
        <v>46043</v>
      </c>
      <c r="C104" s="3" t="s">
        <v>291</v>
      </c>
      <c r="D104" t="s">
        <v>30</v>
      </c>
      <c r="E104" t="s">
        <v>16</v>
      </c>
      <c r="F104" t="s">
        <v>69</v>
      </c>
      <c r="G104" s="3">
        <v>2</v>
      </c>
      <c r="H104" s="5">
        <v>699</v>
      </c>
      <c r="I104" s="3">
        <v>10</v>
      </c>
      <c r="J104" t="s">
        <v>33</v>
      </c>
      <c r="K104" t="s">
        <v>19</v>
      </c>
      <c r="L104" t="s">
        <v>35</v>
      </c>
      <c r="M104" s="9">
        <f t="shared" si="1"/>
        <v>1258.2</v>
      </c>
      <c r="N104" s="11">
        <v>46023</v>
      </c>
    </row>
    <row r="105" spans="1:14">
      <c r="A105" s="3" t="s">
        <v>292</v>
      </c>
      <c r="B105" s="7">
        <v>46246</v>
      </c>
      <c r="C105" s="3" t="s">
        <v>293</v>
      </c>
      <c r="D105" t="s">
        <v>49</v>
      </c>
      <c r="E105" t="s">
        <v>31</v>
      </c>
      <c r="F105" t="s">
        <v>32</v>
      </c>
      <c r="G105" s="3">
        <v>4</v>
      </c>
      <c r="H105" s="5">
        <v>999</v>
      </c>
      <c r="I105" s="3">
        <v>0</v>
      </c>
      <c r="J105" t="s">
        <v>85</v>
      </c>
      <c r="K105" t="s">
        <v>34</v>
      </c>
      <c r="L105" t="s">
        <v>70</v>
      </c>
      <c r="M105" s="9">
        <f t="shared" si="1"/>
        <v>3996</v>
      </c>
      <c r="N105" s="11">
        <v>46235</v>
      </c>
    </row>
    <row r="106" spans="1:14">
      <c r="A106" s="3" t="s">
        <v>294</v>
      </c>
      <c r="B106" s="7">
        <v>46105</v>
      </c>
      <c r="C106" s="3" t="s">
        <v>295</v>
      </c>
      <c r="D106" t="s">
        <v>59</v>
      </c>
      <c r="E106" t="s">
        <v>16</v>
      </c>
      <c r="F106" t="s">
        <v>74</v>
      </c>
      <c r="G106" s="3">
        <v>3</v>
      </c>
      <c r="H106" s="5">
        <v>1299</v>
      </c>
      <c r="I106" s="3">
        <v>10</v>
      </c>
      <c r="J106" t="s">
        <v>85</v>
      </c>
      <c r="K106" t="s">
        <v>34</v>
      </c>
      <c r="L106" t="s">
        <v>60</v>
      </c>
      <c r="M106" s="9">
        <f t="shared" si="1"/>
        <v>3507.3</v>
      </c>
      <c r="N106" s="11">
        <v>46082</v>
      </c>
    </row>
    <row r="107" spans="1:14">
      <c r="A107" s="3" t="s">
        <v>296</v>
      </c>
      <c r="B107" s="7">
        <v>46068</v>
      </c>
      <c r="C107" s="3" t="s">
        <v>297</v>
      </c>
      <c r="D107" t="s">
        <v>59</v>
      </c>
      <c r="E107" t="s">
        <v>44</v>
      </c>
      <c r="F107" t="s">
        <v>50</v>
      </c>
      <c r="G107" s="3">
        <v>3</v>
      </c>
      <c r="H107" s="5">
        <v>1299</v>
      </c>
      <c r="I107" s="3">
        <v>10</v>
      </c>
      <c r="J107" t="s">
        <v>39</v>
      </c>
      <c r="K107" t="s">
        <v>40</v>
      </c>
      <c r="L107" t="s">
        <v>190</v>
      </c>
      <c r="M107" s="9">
        <f t="shared" si="1"/>
        <v>3507.3</v>
      </c>
      <c r="N107" s="11">
        <v>46054</v>
      </c>
    </row>
    <row r="108" spans="1:14">
      <c r="A108" s="3" t="s">
        <v>298</v>
      </c>
      <c r="B108" s="7">
        <v>46259</v>
      </c>
      <c r="C108" s="3" t="s">
        <v>299</v>
      </c>
      <c r="D108" t="s">
        <v>59</v>
      </c>
      <c r="E108" t="s">
        <v>44</v>
      </c>
      <c r="F108" t="s">
        <v>64</v>
      </c>
      <c r="G108" s="3">
        <v>4</v>
      </c>
      <c r="H108" s="5">
        <v>899</v>
      </c>
      <c r="I108" s="3">
        <v>0</v>
      </c>
      <c r="J108" t="s">
        <v>25</v>
      </c>
      <c r="K108" t="s">
        <v>26</v>
      </c>
      <c r="L108" t="s">
        <v>190</v>
      </c>
      <c r="M108" s="9">
        <f t="shared" si="1"/>
        <v>3596</v>
      </c>
      <c r="N108" s="11">
        <v>46235</v>
      </c>
    </row>
    <row r="109" spans="1:14">
      <c r="A109" s="3" t="s">
        <v>300</v>
      </c>
      <c r="B109" s="7">
        <v>46049</v>
      </c>
      <c r="C109" s="3" t="s">
        <v>301</v>
      </c>
      <c r="D109" t="s">
        <v>73</v>
      </c>
      <c r="E109" t="s">
        <v>23</v>
      </c>
      <c r="F109" t="s">
        <v>214</v>
      </c>
      <c r="G109" s="3">
        <v>2</v>
      </c>
      <c r="H109" s="5">
        <v>1899</v>
      </c>
      <c r="I109" s="3">
        <v>10</v>
      </c>
      <c r="J109" t="s">
        <v>33</v>
      </c>
      <c r="K109" t="s">
        <v>65</v>
      </c>
      <c r="L109" t="s">
        <v>180</v>
      </c>
      <c r="M109" s="9">
        <f t="shared" si="1"/>
        <v>3418.2000000000003</v>
      </c>
      <c r="N109" s="11">
        <v>46023</v>
      </c>
    </row>
    <row r="110" spans="1:14">
      <c r="A110" s="3" t="s">
        <v>302</v>
      </c>
      <c r="B110" s="7">
        <v>46037</v>
      </c>
      <c r="C110" s="3" t="s">
        <v>303</v>
      </c>
      <c r="D110" t="s">
        <v>63</v>
      </c>
      <c r="E110" t="s">
        <v>23</v>
      </c>
      <c r="F110" t="s">
        <v>24</v>
      </c>
      <c r="G110" s="3">
        <v>5</v>
      </c>
      <c r="H110" s="5">
        <v>399</v>
      </c>
      <c r="I110" s="3">
        <v>5</v>
      </c>
      <c r="J110" t="s">
        <v>25</v>
      </c>
      <c r="K110" t="s">
        <v>34</v>
      </c>
      <c r="L110" t="s">
        <v>112</v>
      </c>
      <c r="M110" s="9">
        <f t="shared" si="1"/>
        <v>1895.25</v>
      </c>
      <c r="N110" s="11">
        <v>46023</v>
      </c>
    </row>
    <row r="111" spans="1:14">
      <c r="A111" s="3" t="s">
        <v>304</v>
      </c>
      <c r="B111" s="7">
        <v>46138</v>
      </c>
      <c r="C111" s="3" t="s">
        <v>305</v>
      </c>
      <c r="D111" t="s">
        <v>30</v>
      </c>
      <c r="E111" t="s">
        <v>23</v>
      </c>
      <c r="F111" t="s">
        <v>24</v>
      </c>
      <c r="G111" s="3">
        <v>1</v>
      </c>
      <c r="H111" s="5">
        <v>399</v>
      </c>
      <c r="I111" s="3">
        <v>10</v>
      </c>
      <c r="J111" t="s">
        <v>18</v>
      </c>
      <c r="K111" t="s">
        <v>19</v>
      </c>
      <c r="L111" t="s">
        <v>35</v>
      </c>
      <c r="M111" s="9">
        <f t="shared" si="1"/>
        <v>359.1</v>
      </c>
      <c r="N111" s="11">
        <v>46113</v>
      </c>
    </row>
    <row r="112" spans="1:14">
      <c r="A112" s="3" t="s">
        <v>306</v>
      </c>
      <c r="B112" s="7">
        <v>46162</v>
      </c>
      <c r="C112" s="3" t="s">
        <v>307</v>
      </c>
      <c r="D112" t="s">
        <v>106</v>
      </c>
      <c r="E112" t="s">
        <v>16</v>
      </c>
      <c r="F112" t="s">
        <v>69</v>
      </c>
      <c r="G112" s="3">
        <v>4</v>
      </c>
      <c r="H112" s="5">
        <v>699</v>
      </c>
      <c r="I112" s="3">
        <v>10</v>
      </c>
      <c r="J112" t="s">
        <v>85</v>
      </c>
      <c r="K112" t="s">
        <v>65</v>
      </c>
      <c r="L112" t="s">
        <v>108</v>
      </c>
      <c r="M112" s="9">
        <f t="shared" si="1"/>
        <v>2516.4</v>
      </c>
      <c r="N112" s="11">
        <v>46143</v>
      </c>
    </row>
    <row r="113" spans="1:14">
      <c r="A113" s="3" t="s">
        <v>308</v>
      </c>
      <c r="B113" s="7">
        <v>46120</v>
      </c>
      <c r="C113" s="3" t="s">
        <v>309</v>
      </c>
      <c r="D113" t="s">
        <v>49</v>
      </c>
      <c r="E113" t="s">
        <v>31</v>
      </c>
      <c r="F113" t="s">
        <v>211</v>
      </c>
      <c r="G113" s="3">
        <v>5</v>
      </c>
      <c r="H113" s="5">
        <v>2799</v>
      </c>
      <c r="I113" s="3">
        <v>15</v>
      </c>
      <c r="J113" t="s">
        <v>25</v>
      </c>
      <c r="K113" t="s">
        <v>40</v>
      </c>
      <c r="L113" t="s">
        <v>51</v>
      </c>
      <c r="M113" s="9">
        <f t="shared" si="1"/>
        <v>11895.75</v>
      </c>
      <c r="N113" s="11">
        <v>46113</v>
      </c>
    </row>
    <row r="114" spans="1:14">
      <c r="A114" s="3" t="s">
        <v>310</v>
      </c>
      <c r="B114" s="7">
        <v>46159</v>
      </c>
      <c r="C114" s="3" t="s">
        <v>311</v>
      </c>
      <c r="D114" t="s">
        <v>63</v>
      </c>
      <c r="E114" t="s">
        <v>16</v>
      </c>
      <c r="F114" t="s">
        <v>69</v>
      </c>
      <c r="G114" s="3">
        <v>1</v>
      </c>
      <c r="H114" s="5">
        <v>699</v>
      </c>
      <c r="I114" s="3">
        <v>10</v>
      </c>
      <c r="J114" t="s">
        <v>39</v>
      </c>
      <c r="K114" t="s">
        <v>26</v>
      </c>
      <c r="L114" t="s">
        <v>112</v>
      </c>
      <c r="M114" s="9">
        <f t="shared" si="1"/>
        <v>629.1</v>
      </c>
      <c r="N114" s="11">
        <v>46143</v>
      </c>
    </row>
    <row r="115" spans="1:14">
      <c r="A115" s="3" t="s">
        <v>312</v>
      </c>
      <c r="B115" s="7">
        <v>46270</v>
      </c>
      <c r="C115" s="3" t="s">
        <v>313</v>
      </c>
      <c r="D115" t="s">
        <v>49</v>
      </c>
      <c r="E115" t="s">
        <v>23</v>
      </c>
      <c r="F115" t="s">
        <v>89</v>
      </c>
      <c r="G115" s="3">
        <v>3</v>
      </c>
      <c r="H115" s="5">
        <v>2199</v>
      </c>
      <c r="I115" s="3">
        <v>10</v>
      </c>
      <c r="J115" t="s">
        <v>33</v>
      </c>
      <c r="K115" t="s">
        <v>26</v>
      </c>
      <c r="L115" t="s">
        <v>86</v>
      </c>
      <c r="M115" s="9">
        <f t="shared" si="1"/>
        <v>5937.3</v>
      </c>
      <c r="N115" s="11">
        <v>46266</v>
      </c>
    </row>
    <row r="116" spans="1:14">
      <c r="A116" s="3" t="s">
        <v>314</v>
      </c>
      <c r="B116" s="7">
        <v>46145</v>
      </c>
      <c r="C116" s="3" t="s">
        <v>315</v>
      </c>
      <c r="D116" t="s">
        <v>59</v>
      </c>
      <c r="E116" t="s">
        <v>16</v>
      </c>
      <c r="F116" t="s">
        <v>17</v>
      </c>
      <c r="G116" s="3">
        <v>5</v>
      </c>
      <c r="H116" s="5">
        <v>2499</v>
      </c>
      <c r="I116" s="3">
        <v>10</v>
      </c>
      <c r="J116" t="s">
        <v>25</v>
      </c>
      <c r="K116" t="s">
        <v>97</v>
      </c>
      <c r="L116" t="s">
        <v>60</v>
      </c>
      <c r="M116" s="9">
        <f t="shared" si="1"/>
        <v>11245.5</v>
      </c>
      <c r="N116" s="11">
        <v>46143</v>
      </c>
    </row>
    <row r="117" spans="1:14">
      <c r="A117" s="3" t="s">
        <v>316</v>
      </c>
      <c r="B117" s="7">
        <v>46220</v>
      </c>
      <c r="C117" s="3" t="s">
        <v>317</v>
      </c>
      <c r="D117" t="s">
        <v>30</v>
      </c>
      <c r="E117" t="s">
        <v>23</v>
      </c>
      <c r="F117" t="s">
        <v>214</v>
      </c>
      <c r="G117" s="3">
        <v>2</v>
      </c>
      <c r="H117" s="5">
        <v>1899</v>
      </c>
      <c r="I117" s="3">
        <v>10</v>
      </c>
      <c r="J117" t="s">
        <v>18</v>
      </c>
      <c r="K117" t="s">
        <v>65</v>
      </c>
      <c r="L117" t="s">
        <v>148</v>
      </c>
      <c r="M117" s="9">
        <f t="shared" si="1"/>
        <v>3418.2000000000003</v>
      </c>
      <c r="N117" s="11">
        <v>46204</v>
      </c>
    </row>
    <row r="118" spans="1:14">
      <c r="A118" s="3" t="s">
        <v>318</v>
      </c>
      <c r="B118" s="7">
        <v>46292</v>
      </c>
      <c r="C118" s="3" t="s">
        <v>319</v>
      </c>
      <c r="D118" t="s">
        <v>73</v>
      </c>
      <c r="E118" t="s">
        <v>23</v>
      </c>
      <c r="F118" t="s">
        <v>24</v>
      </c>
      <c r="G118" s="3">
        <v>4</v>
      </c>
      <c r="H118" s="5">
        <v>399</v>
      </c>
      <c r="I118" s="3">
        <v>0</v>
      </c>
      <c r="J118" t="s">
        <v>25</v>
      </c>
      <c r="K118" t="s">
        <v>97</v>
      </c>
      <c r="L118" t="s">
        <v>145</v>
      </c>
      <c r="M118" s="9">
        <f t="shared" si="1"/>
        <v>1596</v>
      </c>
      <c r="N118" s="11">
        <v>46266</v>
      </c>
    </row>
    <row r="119" spans="1:14">
      <c r="A119" s="3" t="s">
        <v>320</v>
      </c>
      <c r="B119" s="7">
        <v>46196</v>
      </c>
      <c r="C119" s="3" t="s">
        <v>321</v>
      </c>
      <c r="D119" t="s">
        <v>106</v>
      </c>
      <c r="E119" t="s">
        <v>23</v>
      </c>
      <c r="F119" t="s">
        <v>38</v>
      </c>
      <c r="G119" s="3">
        <v>5</v>
      </c>
      <c r="H119" s="5">
        <v>1499</v>
      </c>
      <c r="I119" s="3">
        <v>20</v>
      </c>
      <c r="J119" t="s">
        <v>85</v>
      </c>
      <c r="K119" t="s">
        <v>19</v>
      </c>
      <c r="L119" t="s">
        <v>137</v>
      </c>
      <c r="M119" s="9">
        <f t="shared" si="1"/>
        <v>5996</v>
      </c>
      <c r="N119" s="11">
        <v>46174</v>
      </c>
    </row>
    <row r="120" spans="1:14">
      <c r="A120" s="3" t="s">
        <v>322</v>
      </c>
      <c r="B120" s="7">
        <v>46185</v>
      </c>
      <c r="C120" s="3" t="s">
        <v>323</v>
      </c>
      <c r="D120" t="s">
        <v>15</v>
      </c>
      <c r="E120" t="s">
        <v>81</v>
      </c>
      <c r="F120" t="s">
        <v>82</v>
      </c>
      <c r="G120" s="3">
        <v>4</v>
      </c>
      <c r="H120" s="5">
        <v>1999</v>
      </c>
      <c r="I120" s="3">
        <v>15</v>
      </c>
      <c r="J120" t="s">
        <v>18</v>
      </c>
      <c r="K120" t="s">
        <v>26</v>
      </c>
      <c r="L120" t="s">
        <v>46</v>
      </c>
      <c r="M120" s="9">
        <f t="shared" si="1"/>
        <v>6796.5999999999995</v>
      </c>
      <c r="N120" s="11">
        <v>46174</v>
      </c>
    </row>
    <row r="121" spans="1:14">
      <c r="A121" s="3" t="s">
        <v>324</v>
      </c>
      <c r="B121" s="7">
        <v>46069</v>
      </c>
      <c r="C121" s="3" t="s">
        <v>325</v>
      </c>
      <c r="D121" t="s">
        <v>15</v>
      </c>
      <c r="E121" t="s">
        <v>16</v>
      </c>
      <c r="F121" t="s">
        <v>17</v>
      </c>
      <c r="G121" s="3">
        <v>4</v>
      </c>
      <c r="H121" s="5">
        <v>2499</v>
      </c>
      <c r="I121" s="3">
        <v>0</v>
      </c>
      <c r="J121" t="s">
        <v>18</v>
      </c>
      <c r="K121" t="s">
        <v>97</v>
      </c>
      <c r="L121" t="s">
        <v>20</v>
      </c>
      <c r="M121" s="9">
        <f t="shared" si="1"/>
        <v>9996</v>
      </c>
      <c r="N121" s="11">
        <v>46054</v>
      </c>
    </row>
    <row r="122" spans="1:14">
      <c r="A122" s="3" t="s">
        <v>326</v>
      </c>
      <c r="B122" s="7">
        <v>46046</v>
      </c>
      <c r="C122" s="3" t="s">
        <v>327</v>
      </c>
      <c r="D122" t="s">
        <v>106</v>
      </c>
      <c r="E122" t="s">
        <v>16</v>
      </c>
      <c r="F122" t="s">
        <v>74</v>
      </c>
      <c r="G122" s="3">
        <v>3</v>
      </c>
      <c r="H122" s="5">
        <v>1299</v>
      </c>
      <c r="I122" s="3">
        <v>0</v>
      </c>
      <c r="J122" t="s">
        <v>39</v>
      </c>
      <c r="K122" t="s">
        <v>34</v>
      </c>
      <c r="L122" t="s">
        <v>234</v>
      </c>
      <c r="M122" s="9">
        <f t="shared" si="1"/>
        <v>3897</v>
      </c>
      <c r="N122" s="11">
        <v>46023</v>
      </c>
    </row>
    <row r="123" spans="1:14">
      <c r="A123" s="3" t="s">
        <v>328</v>
      </c>
      <c r="B123" s="7">
        <v>46294</v>
      </c>
      <c r="C123" s="3" t="s">
        <v>329</v>
      </c>
      <c r="D123" t="s">
        <v>73</v>
      </c>
      <c r="E123" t="s">
        <v>31</v>
      </c>
      <c r="F123" t="s">
        <v>168</v>
      </c>
      <c r="G123" s="3">
        <v>4</v>
      </c>
      <c r="H123" s="5">
        <v>3299</v>
      </c>
      <c r="I123" s="3">
        <v>15</v>
      </c>
      <c r="J123" t="s">
        <v>25</v>
      </c>
      <c r="K123" t="s">
        <v>65</v>
      </c>
      <c r="L123" t="s">
        <v>75</v>
      </c>
      <c r="M123" s="9">
        <f t="shared" si="1"/>
        <v>11216.6</v>
      </c>
      <c r="N123" s="11">
        <v>46266</v>
      </c>
    </row>
    <row r="124" spans="1:14">
      <c r="A124" s="3" t="s">
        <v>330</v>
      </c>
      <c r="B124" s="7">
        <v>46146</v>
      </c>
      <c r="C124" s="3" t="s">
        <v>331</v>
      </c>
      <c r="D124" t="s">
        <v>106</v>
      </c>
      <c r="E124" t="s">
        <v>81</v>
      </c>
      <c r="F124" t="s">
        <v>82</v>
      </c>
      <c r="G124" s="3">
        <v>4</v>
      </c>
      <c r="H124" s="5">
        <v>1999</v>
      </c>
      <c r="I124" s="3">
        <v>15</v>
      </c>
      <c r="J124" t="s">
        <v>25</v>
      </c>
      <c r="K124" t="s">
        <v>65</v>
      </c>
      <c r="L124" t="s">
        <v>137</v>
      </c>
      <c r="M124" s="9">
        <f t="shared" si="1"/>
        <v>6796.5999999999995</v>
      </c>
      <c r="N124" s="11">
        <v>46143</v>
      </c>
    </row>
    <row r="125" spans="1:14">
      <c r="A125" s="3" t="s">
        <v>332</v>
      </c>
      <c r="B125" s="7">
        <v>46153</v>
      </c>
      <c r="C125" s="3" t="s">
        <v>333</v>
      </c>
      <c r="D125" t="s">
        <v>49</v>
      </c>
      <c r="E125" t="s">
        <v>16</v>
      </c>
      <c r="F125" t="s">
        <v>111</v>
      </c>
      <c r="G125" s="3">
        <v>1</v>
      </c>
      <c r="H125" s="5">
        <v>1999</v>
      </c>
      <c r="I125" s="3">
        <v>10</v>
      </c>
      <c r="J125" t="s">
        <v>39</v>
      </c>
      <c r="K125" t="s">
        <v>19</v>
      </c>
      <c r="L125" t="s">
        <v>51</v>
      </c>
      <c r="M125" s="9">
        <f t="shared" si="1"/>
        <v>1799.1000000000001</v>
      </c>
      <c r="N125" s="11">
        <v>46143</v>
      </c>
    </row>
    <row r="126" spans="1:14">
      <c r="A126" s="3" t="s">
        <v>334</v>
      </c>
      <c r="B126" s="7">
        <v>46176</v>
      </c>
      <c r="C126" s="3" t="s">
        <v>335</v>
      </c>
      <c r="D126" t="s">
        <v>106</v>
      </c>
      <c r="E126" t="s">
        <v>23</v>
      </c>
      <c r="F126" t="s">
        <v>38</v>
      </c>
      <c r="G126" s="3">
        <v>4</v>
      </c>
      <c r="H126" s="5">
        <v>1499</v>
      </c>
      <c r="I126" s="3">
        <v>20</v>
      </c>
      <c r="J126" t="s">
        <v>39</v>
      </c>
      <c r="K126" t="s">
        <v>97</v>
      </c>
      <c r="L126" t="s">
        <v>137</v>
      </c>
      <c r="M126" s="9">
        <f t="shared" si="1"/>
        <v>4796.8</v>
      </c>
      <c r="N126" s="11">
        <v>46174</v>
      </c>
    </row>
    <row r="127" spans="1:14">
      <c r="A127" s="3" t="s">
        <v>336</v>
      </c>
      <c r="B127" s="7">
        <v>46077</v>
      </c>
      <c r="C127" s="3" t="s">
        <v>337</v>
      </c>
      <c r="D127" t="s">
        <v>63</v>
      </c>
      <c r="E127" t="s">
        <v>23</v>
      </c>
      <c r="F127" t="s">
        <v>214</v>
      </c>
      <c r="G127" s="3">
        <v>2</v>
      </c>
      <c r="H127" s="5">
        <v>1899</v>
      </c>
      <c r="I127" s="3">
        <v>10</v>
      </c>
      <c r="J127" t="s">
        <v>33</v>
      </c>
      <c r="K127" t="s">
        <v>34</v>
      </c>
      <c r="L127" t="s">
        <v>151</v>
      </c>
      <c r="M127" s="9">
        <f t="shared" si="1"/>
        <v>3418.2000000000003</v>
      </c>
      <c r="N127" s="11">
        <v>46054</v>
      </c>
    </row>
    <row r="128" spans="1:14">
      <c r="A128" s="3" t="s">
        <v>338</v>
      </c>
      <c r="B128" s="7">
        <v>46225</v>
      </c>
      <c r="C128" s="3" t="s">
        <v>339</v>
      </c>
      <c r="D128" t="s">
        <v>63</v>
      </c>
      <c r="E128" t="s">
        <v>16</v>
      </c>
      <c r="F128" t="s">
        <v>74</v>
      </c>
      <c r="G128" s="3">
        <v>3</v>
      </c>
      <c r="H128" s="5">
        <v>1299</v>
      </c>
      <c r="I128" s="3">
        <v>0</v>
      </c>
      <c r="J128" t="s">
        <v>33</v>
      </c>
      <c r="K128" t="s">
        <v>19</v>
      </c>
      <c r="L128" t="s">
        <v>66</v>
      </c>
      <c r="M128" s="9">
        <f t="shared" si="1"/>
        <v>3897</v>
      </c>
      <c r="N128" s="11">
        <v>46204</v>
      </c>
    </row>
    <row r="129" spans="1:14">
      <c r="A129" s="3" t="s">
        <v>340</v>
      </c>
      <c r="B129" s="7">
        <v>46140</v>
      </c>
      <c r="C129" s="3" t="s">
        <v>341</v>
      </c>
      <c r="D129" t="s">
        <v>30</v>
      </c>
      <c r="E129" t="s">
        <v>23</v>
      </c>
      <c r="F129" t="s">
        <v>38</v>
      </c>
      <c r="G129" s="3">
        <v>5</v>
      </c>
      <c r="H129" s="5">
        <v>1499</v>
      </c>
      <c r="I129" s="3">
        <v>10</v>
      </c>
      <c r="J129" t="s">
        <v>25</v>
      </c>
      <c r="K129" t="s">
        <v>19</v>
      </c>
      <c r="L129" t="s">
        <v>35</v>
      </c>
      <c r="M129" s="9">
        <f t="shared" si="1"/>
        <v>6745.5</v>
      </c>
      <c r="N129" s="11">
        <v>46113</v>
      </c>
    </row>
    <row r="130" spans="1:14">
      <c r="A130" s="3" t="s">
        <v>342</v>
      </c>
      <c r="B130" s="7">
        <v>46072</v>
      </c>
      <c r="C130" s="3" t="s">
        <v>343</v>
      </c>
      <c r="D130" t="s">
        <v>54</v>
      </c>
      <c r="E130" t="s">
        <v>16</v>
      </c>
      <c r="F130" t="s">
        <v>17</v>
      </c>
      <c r="G130" s="3">
        <v>1</v>
      </c>
      <c r="H130" s="5">
        <v>2499</v>
      </c>
      <c r="I130" s="3">
        <v>10</v>
      </c>
      <c r="J130" t="s">
        <v>85</v>
      </c>
      <c r="K130" t="s">
        <v>40</v>
      </c>
      <c r="L130" t="s">
        <v>56</v>
      </c>
      <c r="M130" s="9">
        <f t="shared" si="1"/>
        <v>2249.1</v>
      </c>
      <c r="N130" s="11">
        <v>46054</v>
      </c>
    </row>
    <row r="131" spans="1:14">
      <c r="A131" s="3" t="s">
        <v>344</v>
      </c>
      <c r="B131" s="7">
        <v>46174</v>
      </c>
      <c r="C131" s="3" t="s">
        <v>345</v>
      </c>
      <c r="D131" t="s">
        <v>73</v>
      </c>
      <c r="E131" t="s">
        <v>31</v>
      </c>
      <c r="F131" t="s">
        <v>171</v>
      </c>
      <c r="G131" s="3">
        <v>3</v>
      </c>
      <c r="H131" s="5">
        <v>1599</v>
      </c>
      <c r="I131" s="3">
        <v>20</v>
      </c>
      <c r="J131" t="s">
        <v>85</v>
      </c>
      <c r="K131" t="s">
        <v>65</v>
      </c>
      <c r="L131" t="s">
        <v>180</v>
      </c>
      <c r="M131" s="9">
        <f t="shared" ref="M131:M194" si="2">G131*H131*(1-I131/100)</f>
        <v>3837.6000000000004</v>
      </c>
      <c r="N131" s="11">
        <v>46174</v>
      </c>
    </row>
    <row r="132" spans="1:14">
      <c r="A132" s="3" t="s">
        <v>346</v>
      </c>
      <c r="B132" s="7">
        <v>46294</v>
      </c>
      <c r="C132" s="3" t="s">
        <v>347</v>
      </c>
      <c r="D132" t="s">
        <v>54</v>
      </c>
      <c r="E132" t="s">
        <v>81</v>
      </c>
      <c r="F132" t="s">
        <v>92</v>
      </c>
      <c r="G132" s="3">
        <v>5</v>
      </c>
      <c r="H132" s="5">
        <v>999</v>
      </c>
      <c r="I132" s="3">
        <v>10</v>
      </c>
      <c r="J132" t="s">
        <v>25</v>
      </c>
      <c r="K132" t="s">
        <v>34</v>
      </c>
      <c r="L132" t="s">
        <v>98</v>
      </c>
      <c r="M132" s="9">
        <f t="shared" si="2"/>
        <v>4495.5</v>
      </c>
      <c r="N132" s="11">
        <v>46266</v>
      </c>
    </row>
    <row r="133" spans="1:14">
      <c r="A133" s="3" t="s">
        <v>348</v>
      </c>
      <c r="B133" s="7">
        <v>46262</v>
      </c>
      <c r="C133" s="3" t="s">
        <v>349</v>
      </c>
      <c r="D133" t="s">
        <v>49</v>
      </c>
      <c r="E133" t="s">
        <v>16</v>
      </c>
      <c r="F133" t="s">
        <v>74</v>
      </c>
      <c r="G133" s="3">
        <v>1</v>
      </c>
      <c r="H133" s="5">
        <v>1299</v>
      </c>
      <c r="I133" s="3">
        <v>5</v>
      </c>
      <c r="J133" t="s">
        <v>25</v>
      </c>
      <c r="K133" t="s">
        <v>19</v>
      </c>
      <c r="L133" t="s">
        <v>70</v>
      </c>
      <c r="M133" s="9">
        <f t="shared" si="2"/>
        <v>1234.05</v>
      </c>
      <c r="N133" s="11">
        <v>46235</v>
      </c>
    </row>
    <row r="134" spans="1:14">
      <c r="A134" s="3" t="s">
        <v>350</v>
      </c>
      <c r="B134" s="7">
        <v>46225</v>
      </c>
      <c r="C134" s="3" t="s">
        <v>351</v>
      </c>
      <c r="D134" t="s">
        <v>59</v>
      </c>
      <c r="E134" t="s">
        <v>16</v>
      </c>
      <c r="F134" t="s">
        <v>74</v>
      </c>
      <c r="G134" s="3">
        <v>1</v>
      </c>
      <c r="H134" s="5">
        <v>1299</v>
      </c>
      <c r="I134" s="3">
        <v>10</v>
      </c>
      <c r="J134" t="s">
        <v>33</v>
      </c>
      <c r="K134" t="s">
        <v>40</v>
      </c>
      <c r="L134" t="s">
        <v>190</v>
      </c>
      <c r="M134" s="9">
        <f t="shared" si="2"/>
        <v>1169.1000000000001</v>
      </c>
      <c r="N134" s="11">
        <v>46204</v>
      </c>
    </row>
    <row r="135" spans="1:14">
      <c r="A135" s="3" t="s">
        <v>352</v>
      </c>
      <c r="B135" s="7">
        <v>46218</v>
      </c>
      <c r="C135" s="3" t="s">
        <v>353</v>
      </c>
      <c r="D135" t="s">
        <v>49</v>
      </c>
      <c r="E135" t="s">
        <v>16</v>
      </c>
      <c r="F135" t="s">
        <v>69</v>
      </c>
      <c r="G135" s="3">
        <v>3</v>
      </c>
      <c r="H135" s="5">
        <v>699</v>
      </c>
      <c r="I135" s="3">
        <v>0</v>
      </c>
      <c r="J135" t="s">
        <v>25</v>
      </c>
      <c r="K135" t="s">
        <v>97</v>
      </c>
      <c r="L135" t="s">
        <v>70</v>
      </c>
      <c r="M135" s="9">
        <f t="shared" si="2"/>
        <v>2097</v>
      </c>
      <c r="N135" s="11">
        <v>46204</v>
      </c>
    </row>
    <row r="136" spans="1:14">
      <c r="A136" s="3" t="s">
        <v>354</v>
      </c>
      <c r="B136" s="7">
        <v>46136</v>
      </c>
      <c r="C136" s="3" t="s">
        <v>355</v>
      </c>
      <c r="D136" t="s">
        <v>30</v>
      </c>
      <c r="E136" t="s">
        <v>81</v>
      </c>
      <c r="F136" t="s">
        <v>92</v>
      </c>
      <c r="G136" s="3">
        <v>1</v>
      </c>
      <c r="H136" s="5">
        <v>999</v>
      </c>
      <c r="I136" s="3">
        <v>20</v>
      </c>
      <c r="J136" t="s">
        <v>85</v>
      </c>
      <c r="K136" t="s">
        <v>19</v>
      </c>
      <c r="L136" t="s">
        <v>35</v>
      </c>
      <c r="M136" s="9">
        <f t="shared" si="2"/>
        <v>799.2</v>
      </c>
      <c r="N136" s="11">
        <v>46113</v>
      </c>
    </row>
    <row r="137" spans="1:14">
      <c r="A137" s="3" t="s">
        <v>356</v>
      </c>
      <c r="B137" s="7">
        <v>46094</v>
      </c>
      <c r="C137" s="3" t="s">
        <v>357</v>
      </c>
      <c r="D137" t="s">
        <v>63</v>
      </c>
      <c r="E137" t="s">
        <v>23</v>
      </c>
      <c r="F137" t="s">
        <v>24</v>
      </c>
      <c r="G137" s="3">
        <v>1</v>
      </c>
      <c r="H137" s="5">
        <v>399</v>
      </c>
      <c r="I137" s="3">
        <v>0</v>
      </c>
      <c r="J137" t="s">
        <v>39</v>
      </c>
      <c r="K137" t="s">
        <v>97</v>
      </c>
      <c r="L137" t="s">
        <v>66</v>
      </c>
      <c r="M137" s="9">
        <f t="shared" si="2"/>
        <v>399</v>
      </c>
      <c r="N137" s="11">
        <v>46082</v>
      </c>
    </row>
    <row r="138" spans="1:14">
      <c r="A138" s="3" t="s">
        <v>358</v>
      </c>
      <c r="B138" s="7">
        <v>46092</v>
      </c>
      <c r="C138" s="3" t="s">
        <v>359</v>
      </c>
      <c r="D138" t="s">
        <v>15</v>
      </c>
      <c r="E138" t="s">
        <v>31</v>
      </c>
      <c r="F138" t="s">
        <v>32</v>
      </c>
      <c r="G138" s="3">
        <v>4</v>
      </c>
      <c r="H138" s="5">
        <v>999</v>
      </c>
      <c r="I138" s="3">
        <v>10</v>
      </c>
      <c r="J138" t="s">
        <v>39</v>
      </c>
      <c r="K138" t="s">
        <v>19</v>
      </c>
      <c r="L138" t="s">
        <v>20</v>
      </c>
      <c r="M138" s="9">
        <f t="shared" si="2"/>
        <v>3596.4</v>
      </c>
      <c r="N138" s="11">
        <v>46082</v>
      </c>
    </row>
    <row r="139" spans="1:14">
      <c r="A139" s="3" t="s">
        <v>360</v>
      </c>
      <c r="B139" s="7">
        <v>46073</v>
      </c>
      <c r="C139" s="3" t="s">
        <v>361</v>
      </c>
      <c r="D139" t="s">
        <v>59</v>
      </c>
      <c r="E139" t="s">
        <v>31</v>
      </c>
      <c r="F139" t="s">
        <v>211</v>
      </c>
      <c r="G139" s="3">
        <v>4</v>
      </c>
      <c r="H139" s="5">
        <v>2799</v>
      </c>
      <c r="I139" s="3">
        <v>15</v>
      </c>
      <c r="J139" t="s">
        <v>85</v>
      </c>
      <c r="K139" t="s">
        <v>34</v>
      </c>
      <c r="L139" t="s">
        <v>190</v>
      </c>
      <c r="M139" s="9">
        <f t="shared" si="2"/>
        <v>9516.6</v>
      </c>
      <c r="N139" s="11">
        <v>46054</v>
      </c>
    </row>
    <row r="140" spans="1:14">
      <c r="A140" s="3" t="s">
        <v>362</v>
      </c>
      <c r="B140" s="7">
        <v>46250</v>
      </c>
      <c r="C140" s="3" t="s">
        <v>363</v>
      </c>
      <c r="D140" t="s">
        <v>30</v>
      </c>
      <c r="E140" t="s">
        <v>16</v>
      </c>
      <c r="F140" t="s">
        <v>17</v>
      </c>
      <c r="G140" s="3">
        <v>4</v>
      </c>
      <c r="H140" s="5">
        <v>2499</v>
      </c>
      <c r="I140" s="3">
        <v>5</v>
      </c>
      <c r="J140" t="s">
        <v>39</v>
      </c>
      <c r="K140" t="s">
        <v>40</v>
      </c>
      <c r="L140" t="s">
        <v>35</v>
      </c>
      <c r="M140" s="9">
        <f t="shared" si="2"/>
        <v>9496.1999999999989</v>
      </c>
      <c r="N140" s="11">
        <v>46235</v>
      </c>
    </row>
    <row r="141" spans="1:14">
      <c r="A141" s="3" t="s">
        <v>364</v>
      </c>
      <c r="B141" s="7">
        <v>46226</v>
      </c>
      <c r="C141" s="3" t="s">
        <v>365</v>
      </c>
      <c r="D141" t="s">
        <v>73</v>
      </c>
      <c r="E141" t="s">
        <v>16</v>
      </c>
      <c r="F141" t="s">
        <v>74</v>
      </c>
      <c r="G141" s="3">
        <v>3</v>
      </c>
      <c r="H141" s="5">
        <v>1299</v>
      </c>
      <c r="I141" s="3">
        <v>5</v>
      </c>
      <c r="J141" t="s">
        <v>18</v>
      </c>
      <c r="K141" t="s">
        <v>97</v>
      </c>
      <c r="L141" t="s">
        <v>180</v>
      </c>
      <c r="M141" s="9">
        <f t="shared" si="2"/>
        <v>3702.1499999999996</v>
      </c>
      <c r="N141" s="11">
        <v>46204</v>
      </c>
    </row>
    <row r="142" spans="1:14">
      <c r="A142" s="3" t="s">
        <v>366</v>
      </c>
      <c r="B142" s="7">
        <v>46033</v>
      </c>
      <c r="C142" s="3" t="s">
        <v>367</v>
      </c>
      <c r="D142" t="s">
        <v>15</v>
      </c>
      <c r="E142" t="s">
        <v>31</v>
      </c>
      <c r="F142" t="s">
        <v>32</v>
      </c>
      <c r="G142" s="3">
        <v>1</v>
      </c>
      <c r="H142" s="5">
        <v>999</v>
      </c>
      <c r="I142" s="3">
        <v>10</v>
      </c>
      <c r="J142" t="s">
        <v>25</v>
      </c>
      <c r="K142" t="s">
        <v>65</v>
      </c>
      <c r="L142" t="s">
        <v>27</v>
      </c>
      <c r="M142" s="9">
        <f t="shared" si="2"/>
        <v>899.1</v>
      </c>
      <c r="N142" s="11">
        <v>46023</v>
      </c>
    </row>
    <row r="143" spans="1:14">
      <c r="A143" s="3" t="s">
        <v>368</v>
      </c>
      <c r="B143" s="7">
        <v>46133</v>
      </c>
      <c r="C143" s="3" t="s">
        <v>369</v>
      </c>
      <c r="D143" t="s">
        <v>54</v>
      </c>
      <c r="E143" t="s">
        <v>81</v>
      </c>
      <c r="F143" t="s">
        <v>119</v>
      </c>
      <c r="G143" s="3">
        <v>2</v>
      </c>
      <c r="H143" s="5">
        <v>2499</v>
      </c>
      <c r="I143" s="3">
        <v>10</v>
      </c>
      <c r="J143" t="s">
        <v>25</v>
      </c>
      <c r="K143" t="s">
        <v>26</v>
      </c>
      <c r="L143" t="s">
        <v>98</v>
      </c>
      <c r="M143" s="9">
        <f t="shared" si="2"/>
        <v>4498.2</v>
      </c>
      <c r="N143" s="11">
        <v>46113</v>
      </c>
    </row>
    <row r="144" spans="1:14">
      <c r="A144" s="3" t="s">
        <v>370</v>
      </c>
      <c r="B144" s="7">
        <v>46151</v>
      </c>
      <c r="C144" s="3" t="s">
        <v>371</v>
      </c>
      <c r="D144" t="s">
        <v>30</v>
      </c>
      <c r="E144" t="s">
        <v>31</v>
      </c>
      <c r="F144" t="s">
        <v>168</v>
      </c>
      <c r="G144" s="3">
        <v>2</v>
      </c>
      <c r="H144" s="5">
        <v>3299</v>
      </c>
      <c r="I144" s="3">
        <v>0</v>
      </c>
      <c r="J144" t="s">
        <v>18</v>
      </c>
      <c r="K144" t="s">
        <v>65</v>
      </c>
      <c r="L144" t="s">
        <v>148</v>
      </c>
      <c r="M144" s="9">
        <f t="shared" si="2"/>
        <v>6598</v>
      </c>
      <c r="N144" s="11">
        <v>46143</v>
      </c>
    </row>
    <row r="145" spans="1:14">
      <c r="A145" s="3" t="s">
        <v>372</v>
      </c>
      <c r="B145" s="7">
        <v>46188</v>
      </c>
      <c r="C145" s="3" t="s">
        <v>373</v>
      </c>
      <c r="D145" t="s">
        <v>30</v>
      </c>
      <c r="E145" t="s">
        <v>31</v>
      </c>
      <c r="F145" t="s">
        <v>32</v>
      </c>
      <c r="G145" s="3">
        <v>1</v>
      </c>
      <c r="H145" s="5">
        <v>999</v>
      </c>
      <c r="I145" s="3">
        <v>5</v>
      </c>
      <c r="J145" t="s">
        <v>39</v>
      </c>
      <c r="K145" t="s">
        <v>40</v>
      </c>
      <c r="L145" t="s">
        <v>148</v>
      </c>
      <c r="M145" s="9">
        <f t="shared" si="2"/>
        <v>949.05</v>
      </c>
      <c r="N145" s="11">
        <v>46174</v>
      </c>
    </row>
    <row r="146" spans="1:14">
      <c r="A146" s="3" t="s">
        <v>374</v>
      </c>
      <c r="B146" s="7">
        <v>46081</v>
      </c>
      <c r="C146" s="3" t="s">
        <v>375</v>
      </c>
      <c r="D146" t="s">
        <v>106</v>
      </c>
      <c r="E146" t="s">
        <v>23</v>
      </c>
      <c r="F146" t="s">
        <v>89</v>
      </c>
      <c r="G146" s="3">
        <v>1</v>
      </c>
      <c r="H146" s="5">
        <v>2199</v>
      </c>
      <c r="I146" s="3">
        <v>10</v>
      </c>
      <c r="J146" t="s">
        <v>85</v>
      </c>
      <c r="K146" t="s">
        <v>34</v>
      </c>
      <c r="L146" t="s">
        <v>234</v>
      </c>
      <c r="M146" s="9">
        <f t="shared" si="2"/>
        <v>1979.1000000000001</v>
      </c>
      <c r="N146" s="11">
        <v>46054</v>
      </c>
    </row>
    <row r="147" spans="1:14">
      <c r="A147" s="3" t="s">
        <v>376</v>
      </c>
      <c r="B147" s="7">
        <v>46045</v>
      </c>
      <c r="C147" s="3" t="s">
        <v>377</v>
      </c>
      <c r="D147" t="s">
        <v>15</v>
      </c>
      <c r="E147" t="s">
        <v>81</v>
      </c>
      <c r="F147" t="s">
        <v>119</v>
      </c>
      <c r="G147" s="3">
        <v>5</v>
      </c>
      <c r="H147" s="5">
        <v>2499</v>
      </c>
      <c r="I147" s="3">
        <v>10</v>
      </c>
      <c r="J147" t="s">
        <v>85</v>
      </c>
      <c r="K147" t="s">
        <v>19</v>
      </c>
      <c r="L147" t="s">
        <v>46</v>
      </c>
      <c r="M147" s="9">
        <f t="shared" si="2"/>
        <v>11245.5</v>
      </c>
      <c r="N147" s="11">
        <v>46023</v>
      </c>
    </row>
    <row r="148" spans="1:14">
      <c r="A148" s="3" t="s">
        <v>378</v>
      </c>
      <c r="B148" s="7">
        <v>46241</v>
      </c>
      <c r="C148" s="3" t="s">
        <v>379</v>
      </c>
      <c r="D148" t="s">
        <v>30</v>
      </c>
      <c r="E148" t="s">
        <v>23</v>
      </c>
      <c r="F148" t="s">
        <v>214</v>
      </c>
      <c r="G148" s="3">
        <v>1</v>
      </c>
      <c r="H148" s="5">
        <v>1899</v>
      </c>
      <c r="I148" s="3">
        <v>10</v>
      </c>
      <c r="J148" t="s">
        <v>85</v>
      </c>
      <c r="K148" t="s">
        <v>40</v>
      </c>
      <c r="L148" t="s">
        <v>41</v>
      </c>
      <c r="M148" s="9">
        <f t="shared" si="2"/>
        <v>1709.1000000000001</v>
      </c>
      <c r="N148" s="11">
        <v>46235</v>
      </c>
    </row>
    <row r="149" spans="1:14">
      <c r="A149" s="3" t="s">
        <v>380</v>
      </c>
      <c r="B149" s="7">
        <v>46056</v>
      </c>
      <c r="C149" s="3" t="s">
        <v>381</v>
      </c>
      <c r="D149" t="s">
        <v>15</v>
      </c>
      <c r="E149" t="s">
        <v>81</v>
      </c>
      <c r="F149" t="s">
        <v>119</v>
      </c>
      <c r="G149" s="3">
        <v>2</v>
      </c>
      <c r="H149" s="5">
        <v>2499</v>
      </c>
      <c r="I149" s="3">
        <v>10</v>
      </c>
      <c r="J149" t="s">
        <v>33</v>
      </c>
      <c r="K149" t="s">
        <v>19</v>
      </c>
      <c r="L149" t="s">
        <v>46</v>
      </c>
      <c r="M149" s="9">
        <f t="shared" si="2"/>
        <v>4498.2</v>
      </c>
      <c r="N149" s="11">
        <v>46054</v>
      </c>
    </row>
    <row r="150" spans="1:14">
      <c r="A150" s="3" t="s">
        <v>382</v>
      </c>
      <c r="B150" s="7">
        <v>46173</v>
      </c>
      <c r="C150" s="3" t="s">
        <v>383</v>
      </c>
      <c r="D150" t="s">
        <v>73</v>
      </c>
      <c r="E150" t="s">
        <v>81</v>
      </c>
      <c r="F150" t="s">
        <v>107</v>
      </c>
      <c r="G150" s="3">
        <v>4</v>
      </c>
      <c r="H150" s="5">
        <v>2899</v>
      </c>
      <c r="I150" s="3">
        <v>15</v>
      </c>
      <c r="J150" t="s">
        <v>33</v>
      </c>
      <c r="K150" t="s">
        <v>97</v>
      </c>
      <c r="L150" t="s">
        <v>75</v>
      </c>
      <c r="M150" s="9">
        <f t="shared" si="2"/>
        <v>9856.6</v>
      </c>
      <c r="N150" s="11">
        <v>46143</v>
      </c>
    </row>
    <row r="151" spans="1:14">
      <c r="A151" s="3" t="s">
        <v>384</v>
      </c>
      <c r="B151" s="7">
        <v>46133</v>
      </c>
      <c r="C151" s="3" t="s">
        <v>385</v>
      </c>
      <c r="D151" t="s">
        <v>15</v>
      </c>
      <c r="E151" t="s">
        <v>44</v>
      </c>
      <c r="F151" t="s">
        <v>64</v>
      </c>
      <c r="G151" s="3">
        <v>4</v>
      </c>
      <c r="H151" s="5">
        <v>899</v>
      </c>
      <c r="I151" s="3">
        <v>10</v>
      </c>
      <c r="J151" t="s">
        <v>25</v>
      </c>
      <c r="K151" t="s">
        <v>97</v>
      </c>
      <c r="L151" t="s">
        <v>27</v>
      </c>
      <c r="M151" s="9">
        <f t="shared" si="2"/>
        <v>3236.4</v>
      </c>
      <c r="N151" s="11">
        <v>46113</v>
      </c>
    </row>
    <row r="152" spans="1:14">
      <c r="A152" s="3" t="s">
        <v>386</v>
      </c>
      <c r="B152" s="7">
        <v>46071</v>
      </c>
      <c r="C152" s="3" t="s">
        <v>387</v>
      </c>
      <c r="D152" t="s">
        <v>73</v>
      </c>
      <c r="E152" t="s">
        <v>23</v>
      </c>
      <c r="F152" t="s">
        <v>214</v>
      </c>
      <c r="G152" s="3">
        <v>3</v>
      </c>
      <c r="H152" s="5">
        <v>1899</v>
      </c>
      <c r="I152" s="3">
        <v>10</v>
      </c>
      <c r="J152" t="s">
        <v>39</v>
      </c>
      <c r="K152" t="s">
        <v>19</v>
      </c>
      <c r="L152" t="s">
        <v>75</v>
      </c>
      <c r="M152" s="9">
        <f t="shared" si="2"/>
        <v>5127.3</v>
      </c>
      <c r="N152" s="11">
        <v>46054</v>
      </c>
    </row>
    <row r="153" spans="1:14">
      <c r="A153" s="3" t="s">
        <v>388</v>
      </c>
      <c r="B153" s="7">
        <v>46057</v>
      </c>
      <c r="C153" s="3" t="s">
        <v>389</v>
      </c>
      <c r="D153" t="s">
        <v>63</v>
      </c>
      <c r="E153" t="s">
        <v>31</v>
      </c>
      <c r="F153" t="s">
        <v>211</v>
      </c>
      <c r="G153" s="3">
        <v>1</v>
      </c>
      <c r="H153" s="5">
        <v>2799</v>
      </c>
      <c r="I153" s="3">
        <v>0</v>
      </c>
      <c r="J153" t="s">
        <v>18</v>
      </c>
      <c r="K153" t="s">
        <v>97</v>
      </c>
      <c r="L153" t="s">
        <v>112</v>
      </c>
      <c r="M153" s="9">
        <f t="shared" si="2"/>
        <v>2799</v>
      </c>
      <c r="N153" s="11">
        <v>46054</v>
      </c>
    </row>
    <row r="154" spans="1:14">
      <c r="A154" s="3" t="s">
        <v>390</v>
      </c>
      <c r="B154" s="7">
        <v>46053</v>
      </c>
      <c r="C154" s="3" t="s">
        <v>391</v>
      </c>
      <c r="D154" t="s">
        <v>15</v>
      </c>
      <c r="E154" t="s">
        <v>16</v>
      </c>
      <c r="F154" t="s">
        <v>17</v>
      </c>
      <c r="G154" s="3">
        <v>5</v>
      </c>
      <c r="H154" s="5">
        <v>2499</v>
      </c>
      <c r="I154" s="3">
        <v>15</v>
      </c>
      <c r="J154" t="s">
        <v>33</v>
      </c>
      <c r="K154" t="s">
        <v>34</v>
      </c>
      <c r="L154" t="s">
        <v>27</v>
      </c>
      <c r="M154" s="9">
        <f t="shared" si="2"/>
        <v>10620.75</v>
      </c>
      <c r="N154" s="11">
        <v>46023</v>
      </c>
    </row>
    <row r="155" spans="1:14">
      <c r="A155" s="3" t="s">
        <v>392</v>
      </c>
      <c r="B155" s="7">
        <v>46049</v>
      </c>
      <c r="C155" s="3" t="s">
        <v>393</v>
      </c>
      <c r="D155" t="s">
        <v>15</v>
      </c>
      <c r="E155" t="s">
        <v>16</v>
      </c>
      <c r="F155" t="s">
        <v>111</v>
      </c>
      <c r="G155" s="3">
        <v>3</v>
      </c>
      <c r="H155" s="5">
        <v>1999</v>
      </c>
      <c r="I155" s="3">
        <v>15</v>
      </c>
      <c r="J155" t="s">
        <v>39</v>
      </c>
      <c r="K155" t="s">
        <v>34</v>
      </c>
      <c r="L155" t="s">
        <v>46</v>
      </c>
      <c r="M155" s="9">
        <f t="shared" si="2"/>
        <v>5097.45</v>
      </c>
      <c r="N155" s="11">
        <v>46023</v>
      </c>
    </row>
    <row r="156" spans="1:14">
      <c r="A156" s="3" t="s">
        <v>394</v>
      </c>
      <c r="B156" s="7">
        <v>46102</v>
      </c>
      <c r="C156" s="3" t="s">
        <v>395</v>
      </c>
      <c r="D156" t="s">
        <v>15</v>
      </c>
      <c r="E156" t="s">
        <v>81</v>
      </c>
      <c r="F156" t="s">
        <v>119</v>
      </c>
      <c r="G156" s="3">
        <v>4</v>
      </c>
      <c r="H156" s="5">
        <v>2499</v>
      </c>
      <c r="I156" s="3">
        <v>5</v>
      </c>
      <c r="J156" t="s">
        <v>18</v>
      </c>
      <c r="K156" t="s">
        <v>34</v>
      </c>
      <c r="L156" t="s">
        <v>27</v>
      </c>
      <c r="M156" s="9">
        <f t="shared" si="2"/>
        <v>9496.1999999999989</v>
      </c>
      <c r="N156" s="11">
        <v>46082</v>
      </c>
    </row>
    <row r="157" spans="1:14">
      <c r="A157" s="3" t="s">
        <v>396</v>
      </c>
      <c r="B157" s="7">
        <v>46138</v>
      </c>
      <c r="C157" s="3" t="s">
        <v>397</v>
      </c>
      <c r="D157" t="s">
        <v>73</v>
      </c>
      <c r="E157" t="s">
        <v>16</v>
      </c>
      <c r="F157" t="s">
        <v>69</v>
      </c>
      <c r="G157" s="3">
        <v>4</v>
      </c>
      <c r="H157" s="5">
        <v>699</v>
      </c>
      <c r="I157" s="3">
        <v>15</v>
      </c>
      <c r="J157" t="s">
        <v>33</v>
      </c>
      <c r="K157" t="s">
        <v>26</v>
      </c>
      <c r="L157" t="s">
        <v>145</v>
      </c>
      <c r="M157" s="9">
        <f t="shared" si="2"/>
        <v>2376.6</v>
      </c>
      <c r="N157" s="11">
        <v>46113</v>
      </c>
    </row>
    <row r="158" spans="1:14">
      <c r="A158" s="3" t="s">
        <v>398</v>
      </c>
      <c r="B158" s="7">
        <v>46115</v>
      </c>
      <c r="C158" s="3" t="s">
        <v>399</v>
      </c>
      <c r="D158" t="s">
        <v>30</v>
      </c>
      <c r="E158" t="s">
        <v>16</v>
      </c>
      <c r="F158" t="s">
        <v>74</v>
      </c>
      <c r="G158" s="3">
        <v>3</v>
      </c>
      <c r="H158" s="5">
        <v>1299</v>
      </c>
      <c r="I158" s="3">
        <v>20</v>
      </c>
      <c r="J158" t="s">
        <v>39</v>
      </c>
      <c r="K158" t="s">
        <v>34</v>
      </c>
      <c r="L158" t="s">
        <v>35</v>
      </c>
      <c r="M158" s="9">
        <f t="shared" si="2"/>
        <v>3117.6000000000004</v>
      </c>
      <c r="N158" s="11">
        <v>46113</v>
      </c>
    </row>
    <row r="159" spans="1:14">
      <c r="A159" s="3" t="s">
        <v>400</v>
      </c>
      <c r="B159" s="7">
        <v>46228</v>
      </c>
      <c r="C159" s="3" t="s">
        <v>401</v>
      </c>
      <c r="D159" t="s">
        <v>73</v>
      </c>
      <c r="E159" t="s">
        <v>31</v>
      </c>
      <c r="F159" t="s">
        <v>168</v>
      </c>
      <c r="G159" s="3">
        <v>1</v>
      </c>
      <c r="H159" s="5">
        <v>3299</v>
      </c>
      <c r="I159" s="3">
        <v>5</v>
      </c>
      <c r="J159" t="s">
        <v>18</v>
      </c>
      <c r="K159" t="s">
        <v>40</v>
      </c>
      <c r="L159" t="s">
        <v>145</v>
      </c>
      <c r="M159" s="9">
        <f t="shared" si="2"/>
        <v>3134.0499999999997</v>
      </c>
      <c r="N159" s="11">
        <v>46204</v>
      </c>
    </row>
    <row r="160" spans="1:14">
      <c r="A160" s="3" t="s">
        <v>402</v>
      </c>
      <c r="B160" s="7">
        <v>46197</v>
      </c>
      <c r="C160" s="3" t="s">
        <v>403</v>
      </c>
      <c r="D160" t="s">
        <v>54</v>
      </c>
      <c r="E160" t="s">
        <v>23</v>
      </c>
      <c r="F160" t="s">
        <v>214</v>
      </c>
      <c r="G160" s="3">
        <v>2</v>
      </c>
      <c r="H160" s="5">
        <v>1899</v>
      </c>
      <c r="I160" s="3">
        <v>10</v>
      </c>
      <c r="J160" t="s">
        <v>39</v>
      </c>
      <c r="K160" t="s">
        <v>19</v>
      </c>
      <c r="L160" t="s">
        <v>140</v>
      </c>
      <c r="M160" s="9">
        <f t="shared" si="2"/>
        <v>3418.2000000000003</v>
      </c>
      <c r="N160" s="11">
        <v>46174</v>
      </c>
    </row>
    <row r="161" spans="1:14">
      <c r="A161" s="3" t="s">
        <v>404</v>
      </c>
      <c r="B161" s="7">
        <v>46049</v>
      </c>
      <c r="C161" s="3" t="s">
        <v>405</v>
      </c>
      <c r="D161" t="s">
        <v>73</v>
      </c>
      <c r="E161" t="s">
        <v>81</v>
      </c>
      <c r="F161" t="s">
        <v>128</v>
      </c>
      <c r="G161" s="3">
        <v>2</v>
      </c>
      <c r="H161" s="5">
        <v>899</v>
      </c>
      <c r="I161" s="3">
        <v>5</v>
      </c>
      <c r="J161" t="s">
        <v>33</v>
      </c>
      <c r="K161" t="s">
        <v>40</v>
      </c>
      <c r="L161" t="s">
        <v>180</v>
      </c>
      <c r="M161" s="9">
        <f t="shared" si="2"/>
        <v>1708.1</v>
      </c>
      <c r="N161" s="11">
        <v>46023</v>
      </c>
    </row>
    <row r="162" spans="1:14">
      <c r="A162" s="3" t="s">
        <v>406</v>
      </c>
      <c r="B162" s="7">
        <v>46271</v>
      </c>
      <c r="C162" s="3" t="s">
        <v>407</v>
      </c>
      <c r="D162" t="s">
        <v>15</v>
      </c>
      <c r="E162" t="s">
        <v>23</v>
      </c>
      <c r="F162" t="s">
        <v>214</v>
      </c>
      <c r="G162" s="3">
        <v>5</v>
      </c>
      <c r="H162" s="5">
        <v>1899</v>
      </c>
      <c r="I162" s="3">
        <v>10</v>
      </c>
      <c r="J162" t="s">
        <v>85</v>
      </c>
      <c r="K162" t="s">
        <v>34</v>
      </c>
      <c r="L162" t="s">
        <v>46</v>
      </c>
      <c r="M162" s="9">
        <f t="shared" si="2"/>
        <v>8545.5</v>
      </c>
      <c r="N162" s="11">
        <v>46266</v>
      </c>
    </row>
    <row r="163" spans="1:14">
      <c r="A163" s="3" t="s">
        <v>408</v>
      </c>
      <c r="B163" s="7">
        <v>46243</v>
      </c>
      <c r="C163" s="3" t="s">
        <v>409</v>
      </c>
      <c r="D163" t="s">
        <v>54</v>
      </c>
      <c r="E163" t="s">
        <v>44</v>
      </c>
      <c r="F163" t="s">
        <v>45</v>
      </c>
      <c r="G163" s="3">
        <v>1</v>
      </c>
      <c r="H163" s="5">
        <v>1199</v>
      </c>
      <c r="I163" s="3">
        <v>10</v>
      </c>
      <c r="J163" t="s">
        <v>33</v>
      </c>
      <c r="K163" t="s">
        <v>97</v>
      </c>
      <c r="L163" t="s">
        <v>56</v>
      </c>
      <c r="M163" s="9">
        <f t="shared" si="2"/>
        <v>1079.1000000000001</v>
      </c>
      <c r="N163" s="11">
        <v>46235</v>
      </c>
    </row>
    <row r="164" spans="1:14">
      <c r="A164" s="3" t="s">
        <v>410</v>
      </c>
      <c r="B164" s="7">
        <v>46051</v>
      </c>
      <c r="C164" s="3" t="s">
        <v>411</v>
      </c>
      <c r="D164" t="s">
        <v>63</v>
      </c>
      <c r="E164" t="s">
        <v>31</v>
      </c>
      <c r="F164" t="s">
        <v>211</v>
      </c>
      <c r="G164" s="3">
        <v>1</v>
      </c>
      <c r="H164" s="5">
        <v>2799</v>
      </c>
      <c r="I164" s="3">
        <v>5</v>
      </c>
      <c r="J164" t="s">
        <v>39</v>
      </c>
      <c r="K164" t="s">
        <v>65</v>
      </c>
      <c r="L164" t="s">
        <v>151</v>
      </c>
      <c r="M164" s="9">
        <f t="shared" si="2"/>
        <v>2659.0499999999997</v>
      </c>
      <c r="N164" s="11">
        <v>46023</v>
      </c>
    </row>
    <row r="165" spans="1:14">
      <c r="A165" s="3" t="s">
        <v>412</v>
      </c>
      <c r="B165" s="7">
        <v>46084</v>
      </c>
      <c r="C165" s="3" t="s">
        <v>413</v>
      </c>
      <c r="D165" t="s">
        <v>106</v>
      </c>
      <c r="E165" t="s">
        <v>16</v>
      </c>
      <c r="F165" t="s">
        <v>101</v>
      </c>
      <c r="G165" s="3">
        <v>1</v>
      </c>
      <c r="H165" s="5">
        <v>1799</v>
      </c>
      <c r="I165" s="3">
        <v>10</v>
      </c>
      <c r="J165" t="s">
        <v>85</v>
      </c>
      <c r="K165" t="s">
        <v>65</v>
      </c>
      <c r="L165" t="s">
        <v>108</v>
      </c>
      <c r="M165" s="9">
        <f t="shared" si="2"/>
        <v>1619.1000000000001</v>
      </c>
      <c r="N165" s="11">
        <v>46082</v>
      </c>
    </row>
    <row r="166" spans="1:14">
      <c r="A166" s="3" t="s">
        <v>414</v>
      </c>
      <c r="B166" s="7">
        <v>46279</v>
      </c>
      <c r="C166" s="3" t="s">
        <v>415</v>
      </c>
      <c r="D166" t="s">
        <v>106</v>
      </c>
      <c r="E166" t="s">
        <v>81</v>
      </c>
      <c r="F166" t="s">
        <v>119</v>
      </c>
      <c r="G166" s="3">
        <v>5</v>
      </c>
      <c r="H166" s="5">
        <v>2499</v>
      </c>
      <c r="I166" s="3">
        <v>20</v>
      </c>
      <c r="J166" t="s">
        <v>39</v>
      </c>
      <c r="K166" t="s">
        <v>40</v>
      </c>
      <c r="L166" t="s">
        <v>108</v>
      </c>
      <c r="M166" s="9">
        <f t="shared" si="2"/>
        <v>9996</v>
      </c>
      <c r="N166" s="11">
        <v>46266</v>
      </c>
    </row>
    <row r="167" spans="1:14">
      <c r="A167" s="3" t="s">
        <v>416</v>
      </c>
      <c r="B167" s="7">
        <v>46032</v>
      </c>
      <c r="C167" s="3" t="s">
        <v>417</v>
      </c>
      <c r="D167" t="s">
        <v>59</v>
      </c>
      <c r="E167" t="s">
        <v>44</v>
      </c>
      <c r="F167" t="s">
        <v>50</v>
      </c>
      <c r="G167" s="3">
        <v>4</v>
      </c>
      <c r="H167" s="5">
        <v>1299</v>
      </c>
      <c r="I167" s="3">
        <v>0</v>
      </c>
      <c r="J167" t="s">
        <v>39</v>
      </c>
      <c r="K167" t="s">
        <v>26</v>
      </c>
      <c r="L167" t="s">
        <v>190</v>
      </c>
      <c r="M167" s="9">
        <f t="shared" si="2"/>
        <v>5196</v>
      </c>
      <c r="N167" s="11">
        <v>46023</v>
      </c>
    </row>
    <row r="168" spans="1:14">
      <c r="A168" s="3" t="s">
        <v>418</v>
      </c>
      <c r="B168" s="7">
        <v>46171</v>
      </c>
      <c r="C168" s="3" t="s">
        <v>419</v>
      </c>
      <c r="D168" t="s">
        <v>59</v>
      </c>
      <c r="E168" t="s">
        <v>23</v>
      </c>
      <c r="F168" t="s">
        <v>214</v>
      </c>
      <c r="G168" s="3">
        <v>1</v>
      </c>
      <c r="H168" s="5">
        <v>1899</v>
      </c>
      <c r="I168" s="3">
        <v>10</v>
      </c>
      <c r="J168" t="s">
        <v>18</v>
      </c>
      <c r="K168" t="s">
        <v>34</v>
      </c>
      <c r="L168" t="s">
        <v>190</v>
      </c>
      <c r="M168" s="9">
        <f t="shared" si="2"/>
        <v>1709.1000000000001</v>
      </c>
      <c r="N168" s="11">
        <v>46143</v>
      </c>
    </row>
    <row r="169" spans="1:14">
      <c r="A169" s="3" t="s">
        <v>420</v>
      </c>
      <c r="B169" s="7">
        <v>46068</v>
      </c>
      <c r="C169" s="3" t="s">
        <v>421</v>
      </c>
      <c r="D169" t="s">
        <v>106</v>
      </c>
      <c r="E169" t="s">
        <v>23</v>
      </c>
      <c r="F169" t="s">
        <v>38</v>
      </c>
      <c r="G169" s="3">
        <v>4</v>
      </c>
      <c r="H169" s="5">
        <v>1499</v>
      </c>
      <c r="I169" s="3">
        <v>0</v>
      </c>
      <c r="J169" t="s">
        <v>25</v>
      </c>
      <c r="K169" t="s">
        <v>97</v>
      </c>
      <c r="L169" t="s">
        <v>234</v>
      </c>
      <c r="M169" s="9">
        <f t="shared" si="2"/>
        <v>5996</v>
      </c>
      <c r="N169" s="11">
        <v>46054</v>
      </c>
    </row>
    <row r="170" spans="1:14">
      <c r="A170" s="3" t="s">
        <v>422</v>
      </c>
      <c r="B170" s="7">
        <v>46181</v>
      </c>
      <c r="C170" s="3" t="s">
        <v>423</v>
      </c>
      <c r="D170" t="s">
        <v>59</v>
      </c>
      <c r="E170" t="s">
        <v>44</v>
      </c>
      <c r="F170" t="s">
        <v>50</v>
      </c>
      <c r="G170" s="3">
        <v>3</v>
      </c>
      <c r="H170" s="5">
        <v>1299</v>
      </c>
      <c r="I170" s="3">
        <v>5</v>
      </c>
      <c r="J170" t="s">
        <v>39</v>
      </c>
      <c r="K170" t="s">
        <v>65</v>
      </c>
      <c r="L170" t="s">
        <v>190</v>
      </c>
      <c r="M170" s="9">
        <f t="shared" si="2"/>
        <v>3702.1499999999996</v>
      </c>
      <c r="N170" s="11">
        <v>46174</v>
      </c>
    </row>
    <row r="171" spans="1:14">
      <c r="A171" s="3" t="s">
        <v>424</v>
      </c>
      <c r="B171" s="7">
        <v>46284</v>
      </c>
      <c r="C171" s="3" t="s">
        <v>425</v>
      </c>
      <c r="D171" t="s">
        <v>15</v>
      </c>
      <c r="E171" t="s">
        <v>44</v>
      </c>
      <c r="F171" t="s">
        <v>64</v>
      </c>
      <c r="G171" s="3">
        <v>2</v>
      </c>
      <c r="H171" s="5">
        <v>899</v>
      </c>
      <c r="I171" s="3">
        <v>10</v>
      </c>
      <c r="J171" t="s">
        <v>39</v>
      </c>
      <c r="K171" t="s">
        <v>19</v>
      </c>
      <c r="L171" t="s">
        <v>27</v>
      </c>
      <c r="M171" s="9">
        <f t="shared" si="2"/>
        <v>1618.2</v>
      </c>
      <c r="N171" s="11">
        <v>46266</v>
      </c>
    </row>
    <row r="172" spans="1:14">
      <c r="A172" s="3" t="s">
        <v>426</v>
      </c>
      <c r="B172" s="7">
        <v>46154</v>
      </c>
      <c r="C172" s="3" t="s">
        <v>427</v>
      </c>
      <c r="D172" t="s">
        <v>106</v>
      </c>
      <c r="E172" t="s">
        <v>44</v>
      </c>
      <c r="F172" t="s">
        <v>277</v>
      </c>
      <c r="G172" s="3">
        <v>2</v>
      </c>
      <c r="H172" s="5">
        <v>1499</v>
      </c>
      <c r="I172" s="3">
        <v>5</v>
      </c>
      <c r="J172" t="s">
        <v>33</v>
      </c>
      <c r="K172" t="s">
        <v>65</v>
      </c>
      <c r="L172" t="s">
        <v>137</v>
      </c>
      <c r="M172" s="9">
        <f t="shared" si="2"/>
        <v>2848.1</v>
      </c>
      <c r="N172" s="11">
        <v>46143</v>
      </c>
    </row>
    <row r="173" spans="1:14">
      <c r="A173" s="3" t="s">
        <v>428</v>
      </c>
      <c r="B173" s="7">
        <v>46252</v>
      </c>
      <c r="C173" s="3" t="s">
        <v>429</v>
      </c>
      <c r="D173" t="s">
        <v>15</v>
      </c>
      <c r="E173" t="s">
        <v>23</v>
      </c>
      <c r="F173" t="s">
        <v>214</v>
      </c>
      <c r="G173" s="3">
        <v>5</v>
      </c>
      <c r="H173" s="5">
        <v>1899</v>
      </c>
      <c r="I173" s="3">
        <v>20</v>
      </c>
      <c r="J173" t="s">
        <v>33</v>
      </c>
      <c r="K173" t="s">
        <v>34</v>
      </c>
      <c r="L173" t="s">
        <v>20</v>
      </c>
      <c r="M173" s="9">
        <f t="shared" si="2"/>
        <v>7596</v>
      </c>
      <c r="N173" s="11">
        <v>46235</v>
      </c>
    </row>
    <row r="174" spans="1:14">
      <c r="A174" s="3" t="s">
        <v>430</v>
      </c>
      <c r="B174" s="7">
        <v>46263</v>
      </c>
      <c r="C174" s="3" t="s">
        <v>431</v>
      </c>
      <c r="D174" t="s">
        <v>73</v>
      </c>
      <c r="E174" t="s">
        <v>23</v>
      </c>
      <c r="F174" t="s">
        <v>24</v>
      </c>
      <c r="G174" s="3">
        <v>4</v>
      </c>
      <c r="H174" s="5">
        <v>399</v>
      </c>
      <c r="I174" s="3">
        <v>20</v>
      </c>
      <c r="J174" t="s">
        <v>39</v>
      </c>
      <c r="K174" t="s">
        <v>34</v>
      </c>
      <c r="L174" t="s">
        <v>145</v>
      </c>
      <c r="M174" s="9">
        <f t="shared" si="2"/>
        <v>1276.8000000000002</v>
      </c>
      <c r="N174" s="11">
        <v>46235</v>
      </c>
    </row>
    <row r="175" spans="1:14">
      <c r="A175" s="3" t="s">
        <v>432</v>
      </c>
      <c r="B175" s="7">
        <v>46181</v>
      </c>
      <c r="C175" s="3" t="s">
        <v>433</v>
      </c>
      <c r="D175" t="s">
        <v>30</v>
      </c>
      <c r="E175" t="s">
        <v>81</v>
      </c>
      <c r="F175" t="s">
        <v>128</v>
      </c>
      <c r="G175" s="3">
        <v>4</v>
      </c>
      <c r="H175" s="5">
        <v>899</v>
      </c>
      <c r="I175" s="3">
        <v>10</v>
      </c>
      <c r="J175" t="s">
        <v>18</v>
      </c>
      <c r="K175" t="s">
        <v>40</v>
      </c>
      <c r="L175" t="s">
        <v>148</v>
      </c>
      <c r="M175" s="9">
        <f t="shared" si="2"/>
        <v>3236.4</v>
      </c>
      <c r="N175" s="11">
        <v>46174</v>
      </c>
    </row>
    <row r="176" spans="1:14">
      <c r="A176" s="3" t="s">
        <v>434</v>
      </c>
      <c r="B176" s="7">
        <v>46282</v>
      </c>
      <c r="C176" s="3" t="s">
        <v>435</v>
      </c>
      <c r="D176" t="s">
        <v>73</v>
      </c>
      <c r="E176" t="s">
        <v>44</v>
      </c>
      <c r="F176" t="s">
        <v>55</v>
      </c>
      <c r="G176" s="3">
        <v>4</v>
      </c>
      <c r="H176" s="5">
        <v>799</v>
      </c>
      <c r="I176" s="3">
        <v>10</v>
      </c>
      <c r="J176" t="s">
        <v>33</v>
      </c>
      <c r="K176" t="s">
        <v>26</v>
      </c>
      <c r="L176" t="s">
        <v>75</v>
      </c>
      <c r="M176" s="9">
        <f t="shared" si="2"/>
        <v>2876.4</v>
      </c>
      <c r="N176" s="11">
        <v>46266</v>
      </c>
    </row>
    <row r="177" spans="1:14">
      <c r="A177" s="3" t="s">
        <v>436</v>
      </c>
      <c r="B177" s="7">
        <v>46187</v>
      </c>
      <c r="C177" s="3" t="s">
        <v>437</v>
      </c>
      <c r="D177" t="s">
        <v>30</v>
      </c>
      <c r="E177" t="s">
        <v>81</v>
      </c>
      <c r="F177" t="s">
        <v>119</v>
      </c>
      <c r="G177" s="3">
        <v>5</v>
      </c>
      <c r="H177" s="5">
        <v>2499</v>
      </c>
      <c r="I177" s="3">
        <v>10</v>
      </c>
      <c r="J177" t="s">
        <v>33</v>
      </c>
      <c r="K177" t="s">
        <v>65</v>
      </c>
      <c r="L177" t="s">
        <v>148</v>
      </c>
      <c r="M177" s="9">
        <f t="shared" si="2"/>
        <v>11245.5</v>
      </c>
      <c r="N177" s="11">
        <v>46174</v>
      </c>
    </row>
    <row r="178" spans="1:14">
      <c r="A178" s="3" t="s">
        <v>438</v>
      </c>
      <c r="B178" s="7">
        <v>46066</v>
      </c>
      <c r="C178" s="3" t="s">
        <v>439</v>
      </c>
      <c r="D178" t="s">
        <v>30</v>
      </c>
      <c r="E178" t="s">
        <v>44</v>
      </c>
      <c r="F178" t="s">
        <v>45</v>
      </c>
      <c r="G178" s="3">
        <v>5</v>
      </c>
      <c r="H178" s="5">
        <v>1199</v>
      </c>
      <c r="I178" s="3">
        <v>20</v>
      </c>
      <c r="J178" t="s">
        <v>25</v>
      </c>
      <c r="K178" t="s">
        <v>40</v>
      </c>
      <c r="L178" t="s">
        <v>148</v>
      </c>
      <c r="M178" s="9">
        <f t="shared" si="2"/>
        <v>4796</v>
      </c>
      <c r="N178" s="11">
        <v>46054</v>
      </c>
    </row>
    <row r="179" spans="1:14">
      <c r="A179" s="3" t="s">
        <v>440</v>
      </c>
      <c r="B179" s="7">
        <v>46291</v>
      </c>
      <c r="C179" s="3" t="s">
        <v>441</v>
      </c>
      <c r="D179" t="s">
        <v>54</v>
      </c>
      <c r="E179" t="s">
        <v>23</v>
      </c>
      <c r="F179" t="s">
        <v>214</v>
      </c>
      <c r="G179" s="3">
        <v>5</v>
      </c>
      <c r="H179" s="5">
        <v>1899</v>
      </c>
      <c r="I179" s="3">
        <v>15</v>
      </c>
      <c r="J179" t="s">
        <v>25</v>
      </c>
      <c r="K179" t="s">
        <v>34</v>
      </c>
      <c r="L179" t="s">
        <v>56</v>
      </c>
      <c r="M179" s="9">
        <f t="shared" si="2"/>
        <v>8070.75</v>
      </c>
      <c r="N179" s="11">
        <v>46266</v>
      </c>
    </row>
    <row r="180" spans="1:14">
      <c r="A180" s="3" t="s">
        <v>442</v>
      </c>
      <c r="B180" s="7">
        <v>46196</v>
      </c>
      <c r="C180" s="3" t="s">
        <v>443</v>
      </c>
      <c r="D180" t="s">
        <v>73</v>
      </c>
      <c r="E180" t="s">
        <v>23</v>
      </c>
      <c r="F180" t="s">
        <v>214</v>
      </c>
      <c r="G180" s="3">
        <v>5</v>
      </c>
      <c r="H180" s="5">
        <v>1899</v>
      </c>
      <c r="I180" s="3">
        <v>0</v>
      </c>
      <c r="J180" t="s">
        <v>39</v>
      </c>
      <c r="K180" t="s">
        <v>40</v>
      </c>
      <c r="L180" t="s">
        <v>75</v>
      </c>
      <c r="M180" s="9">
        <f t="shared" si="2"/>
        <v>9495</v>
      </c>
      <c r="N180" s="11">
        <v>46174</v>
      </c>
    </row>
    <row r="181" spans="1:14">
      <c r="A181" s="3" t="s">
        <v>444</v>
      </c>
      <c r="B181" s="7">
        <v>46168</v>
      </c>
      <c r="C181" s="3" t="s">
        <v>445</v>
      </c>
      <c r="D181" t="s">
        <v>73</v>
      </c>
      <c r="E181" t="s">
        <v>81</v>
      </c>
      <c r="F181" t="s">
        <v>82</v>
      </c>
      <c r="G181" s="3">
        <v>3</v>
      </c>
      <c r="H181" s="5">
        <v>1999</v>
      </c>
      <c r="I181" s="3">
        <v>20</v>
      </c>
      <c r="J181" t="s">
        <v>33</v>
      </c>
      <c r="K181" t="s">
        <v>65</v>
      </c>
      <c r="L181" t="s">
        <v>145</v>
      </c>
      <c r="M181" s="9">
        <f t="shared" si="2"/>
        <v>4797.6000000000004</v>
      </c>
      <c r="N181" s="11">
        <v>46143</v>
      </c>
    </row>
    <row r="182" spans="1:14">
      <c r="A182" s="3" t="s">
        <v>446</v>
      </c>
      <c r="B182" s="7">
        <v>46202</v>
      </c>
      <c r="C182" s="3" t="s">
        <v>447</v>
      </c>
      <c r="D182" t="s">
        <v>73</v>
      </c>
      <c r="E182" t="s">
        <v>81</v>
      </c>
      <c r="F182" t="s">
        <v>119</v>
      </c>
      <c r="G182" s="3">
        <v>3</v>
      </c>
      <c r="H182" s="5">
        <v>2499</v>
      </c>
      <c r="I182" s="3">
        <v>20</v>
      </c>
      <c r="J182" t="s">
        <v>85</v>
      </c>
      <c r="K182" t="s">
        <v>65</v>
      </c>
      <c r="L182" t="s">
        <v>145</v>
      </c>
      <c r="M182" s="9">
        <f t="shared" si="2"/>
        <v>5997.6</v>
      </c>
      <c r="N182" s="11">
        <v>46174</v>
      </c>
    </row>
    <row r="183" spans="1:14">
      <c r="A183" s="3" t="s">
        <v>448</v>
      </c>
      <c r="B183" s="7">
        <v>46191</v>
      </c>
      <c r="C183" s="3" t="s">
        <v>449</v>
      </c>
      <c r="D183" t="s">
        <v>15</v>
      </c>
      <c r="E183" t="s">
        <v>81</v>
      </c>
      <c r="F183" t="s">
        <v>82</v>
      </c>
      <c r="G183" s="3">
        <v>2</v>
      </c>
      <c r="H183" s="5">
        <v>1999</v>
      </c>
      <c r="I183" s="3">
        <v>20</v>
      </c>
      <c r="J183" t="s">
        <v>33</v>
      </c>
      <c r="K183" t="s">
        <v>40</v>
      </c>
      <c r="L183" t="s">
        <v>46</v>
      </c>
      <c r="M183" s="9">
        <f t="shared" si="2"/>
        <v>3198.4</v>
      </c>
      <c r="N183" s="11">
        <v>46174</v>
      </c>
    </row>
    <row r="184" spans="1:14">
      <c r="A184" s="3" t="s">
        <v>450</v>
      </c>
      <c r="B184" s="7">
        <v>46208</v>
      </c>
      <c r="C184" s="3" t="s">
        <v>451</v>
      </c>
      <c r="D184" t="s">
        <v>59</v>
      </c>
      <c r="E184" t="s">
        <v>16</v>
      </c>
      <c r="F184" t="s">
        <v>74</v>
      </c>
      <c r="G184" s="3">
        <v>3</v>
      </c>
      <c r="H184" s="5">
        <v>1299</v>
      </c>
      <c r="I184" s="3">
        <v>5</v>
      </c>
      <c r="J184" t="s">
        <v>25</v>
      </c>
      <c r="K184" t="s">
        <v>34</v>
      </c>
      <c r="L184" t="s">
        <v>190</v>
      </c>
      <c r="M184" s="9">
        <f t="shared" si="2"/>
        <v>3702.1499999999996</v>
      </c>
      <c r="N184" s="11">
        <v>46204</v>
      </c>
    </row>
    <row r="185" spans="1:14">
      <c r="A185" s="3" t="s">
        <v>452</v>
      </c>
      <c r="B185" s="7">
        <v>46102</v>
      </c>
      <c r="C185" s="3" t="s">
        <v>453</v>
      </c>
      <c r="D185" t="s">
        <v>49</v>
      </c>
      <c r="E185" t="s">
        <v>31</v>
      </c>
      <c r="F185" t="s">
        <v>168</v>
      </c>
      <c r="G185" s="3">
        <v>1</v>
      </c>
      <c r="H185" s="5">
        <v>3299</v>
      </c>
      <c r="I185" s="3">
        <v>10</v>
      </c>
      <c r="J185" t="s">
        <v>18</v>
      </c>
      <c r="K185" t="s">
        <v>26</v>
      </c>
      <c r="L185" t="s">
        <v>86</v>
      </c>
      <c r="M185" s="9">
        <f t="shared" si="2"/>
        <v>2969.1</v>
      </c>
      <c r="N185" s="11">
        <v>46082</v>
      </c>
    </row>
    <row r="186" spans="1:14">
      <c r="A186" s="3" t="s">
        <v>454</v>
      </c>
      <c r="B186" s="7">
        <v>46090</v>
      </c>
      <c r="C186" s="3" t="s">
        <v>455</v>
      </c>
      <c r="D186" t="s">
        <v>30</v>
      </c>
      <c r="E186" t="s">
        <v>16</v>
      </c>
      <c r="F186" t="s">
        <v>69</v>
      </c>
      <c r="G186" s="3">
        <v>5</v>
      </c>
      <c r="H186" s="5">
        <v>699</v>
      </c>
      <c r="I186" s="3">
        <v>10</v>
      </c>
      <c r="J186" t="s">
        <v>25</v>
      </c>
      <c r="K186" t="s">
        <v>65</v>
      </c>
      <c r="L186" t="s">
        <v>35</v>
      </c>
      <c r="M186" s="9">
        <f t="shared" si="2"/>
        <v>3145.5</v>
      </c>
      <c r="N186" s="11">
        <v>46082</v>
      </c>
    </row>
    <row r="187" spans="1:14">
      <c r="A187" s="3" t="s">
        <v>456</v>
      </c>
      <c r="B187" s="7">
        <v>46247</v>
      </c>
      <c r="C187" s="3" t="s">
        <v>457</v>
      </c>
      <c r="D187" t="s">
        <v>106</v>
      </c>
      <c r="E187" t="s">
        <v>81</v>
      </c>
      <c r="F187" t="s">
        <v>119</v>
      </c>
      <c r="G187" s="3">
        <v>1</v>
      </c>
      <c r="H187" s="5">
        <v>2499</v>
      </c>
      <c r="I187" s="3">
        <v>10</v>
      </c>
      <c r="J187" t="s">
        <v>39</v>
      </c>
      <c r="K187" t="s">
        <v>19</v>
      </c>
      <c r="L187" t="s">
        <v>234</v>
      </c>
      <c r="M187" s="9">
        <f t="shared" si="2"/>
        <v>2249.1</v>
      </c>
      <c r="N187" s="11">
        <v>46235</v>
      </c>
    </row>
    <row r="188" spans="1:14">
      <c r="A188" s="3" t="s">
        <v>458</v>
      </c>
      <c r="B188" s="7">
        <v>46252</v>
      </c>
      <c r="C188" s="3" t="s">
        <v>459</v>
      </c>
      <c r="D188" t="s">
        <v>54</v>
      </c>
      <c r="E188" t="s">
        <v>81</v>
      </c>
      <c r="F188" t="s">
        <v>92</v>
      </c>
      <c r="G188" s="3">
        <v>2</v>
      </c>
      <c r="H188" s="5">
        <v>999</v>
      </c>
      <c r="I188" s="3">
        <v>15</v>
      </c>
      <c r="J188" t="s">
        <v>25</v>
      </c>
      <c r="K188" t="s">
        <v>34</v>
      </c>
      <c r="L188" t="s">
        <v>140</v>
      </c>
      <c r="M188" s="9">
        <f t="shared" si="2"/>
        <v>1698.3</v>
      </c>
      <c r="N188" s="11">
        <v>46235</v>
      </c>
    </row>
    <row r="189" spans="1:14">
      <c r="A189" s="3" t="s">
        <v>460</v>
      </c>
      <c r="B189" s="7">
        <v>46248</v>
      </c>
      <c r="C189" s="3" t="s">
        <v>461</v>
      </c>
      <c r="D189" t="s">
        <v>49</v>
      </c>
      <c r="E189" t="s">
        <v>16</v>
      </c>
      <c r="F189" t="s">
        <v>69</v>
      </c>
      <c r="G189" s="3">
        <v>4</v>
      </c>
      <c r="H189" s="5">
        <v>699</v>
      </c>
      <c r="I189" s="3">
        <v>10</v>
      </c>
      <c r="J189" t="s">
        <v>85</v>
      </c>
      <c r="K189" t="s">
        <v>26</v>
      </c>
      <c r="L189" t="s">
        <v>86</v>
      </c>
      <c r="M189" s="9">
        <f t="shared" si="2"/>
        <v>2516.4</v>
      </c>
      <c r="N189" s="11">
        <v>46235</v>
      </c>
    </row>
    <row r="190" spans="1:14">
      <c r="A190" s="3" t="s">
        <v>462</v>
      </c>
      <c r="B190" s="7">
        <v>46093</v>
      </c>
      <c r="C190" s="3" t="s">
        <v>463</v>
      </c>
      <c r="D190" t="s">
        <v>59</v>
      </c>
      <c r="E190" t="s">
        <v>31</v>
      </c>
      <c r="F190" t="s">
        <v>32</v>
      </c>
      <c r="G190" s="3">
        <v>3</v>
      </c>
      <c r="H190" s="5">
        <v>999</v>
      </c>
      <c r="I190" s="3">
        <v>0</v>
      </c>
      <c r="J190" t="s">
        <v>85</v>
      </c>
      <c r="K190" t="s">
        <v>34</v>
      </c>
      <c r="L190" t="s">
        <v>185</v>
      </c>
      <c r="M190" s="9">
        <f t="shared" si="2"/>
        <v>2997</v>
      </c>
      <c r="N190" s="11">
        <v>46082</v>
      </c>
    </row>
    <row r="191" spans="1:14">
      <c r="A191" s="3" t="s">
        <v>464</v>
      </c>
      <c r="B191" s="7">
        <v>46168</v>
      </c>
      <c r="C191" s="3" t="s">
        <v>465</v>
      </c>
      <c r="D191" t="s">
        <v>15</v>
      </c>
      <c r="E191" t="s">
        <v>81</v>
      </c>
      <c r="F191" t="s">
        <v>128</v>
      </c>
      <c r="G191" s="3">
        <v>1</v>
      </c>
      <c r="H191" s="5">
        <v>899</v>
      </c>
      <c r="I191" s="3">
        <v>5</v>
      </c>
      <c r="J191" t="s">
        <v>39</v>
      </c>
      <c r="K191" t="s">
        <v>97</v>
      </c>
      <c r="L191" t="s">
        <v>27</v>
      </c>
      <c r="M191" s="9">
        <f t="shared" si="2"/>
        <v>854.05</v>
      </c>
      <c r="N191" s="11">
        <v>46143</v>
      </c>
    </row>
    <row r="192" spans="1:14">
      <c r="A192" s="3" t="s">
        <v>466</v>
      </c>
      <c r="B192" s="7">
        <v>46253</v>
      </c>
      <c r="C192" s="3" t="s">
        <v>467</v>
      </c>
      <c r="D192" t="s">
        <v>106</v>
      </c>
      <c r="E192" t="s">
        <v>44</v>
      </c>
      <c r="F192" t="s">
        <v>277</v>
      </c>
      <c r="G192" s="3">
        <v>3</v>
      </c>
      <c r="H192" s="5">
        <v>1499</v>
      </c>
      <c r="I192" s="3">
        <v>0</v>
      </c>
      <c r="J192" t="s">
        <v>85</v>
      </c>
      <c r="K192" t="s">
        <v>40</v>
      </c>
      <c r="L192" t="s">
        <v>108</v>
      </c>
      <c r="M192" s="9">
        <f t="shared" si="2"/>
        <v>4497</v>
      </c>
      <c r="N192" s="11">
        <v>46235</v>
      </c>
    </row>
    <row r="193" spans="1:14">
      <c r="A193" s="3" t="s">
        <v>468</v>
      </c>
      <c r="B193" s="7">
        <v>46220</v>
      </c>
      <c r="C193" s="3" t="s">
        <v>469</v>
      </c>
      <c r="D193" t="s">
        <v>59</v>
      </c>
      <c r="E193" t="s">
        <v>16</v>
      </c>
      <c r="F193" t="s">
        <v>17</v>
      </c>
      <c r="G193" s="3">
        <v>1</v>
      </c>
      <c r="H193" s="5">
        <v>2499</v>
      </c>
      <c r="I193" s="3">
        <v>10</v>
      </c>
      <c r="J193" t="s">
        <v>25</v>
      </c>
      <c r="K193" t="s">
        <v>40</v>
      </c>
      <c r="L193" t="s">
        <v>190</v>
      </c>
      <c r="M193" s="9">
        <f t="shared" si="2"/>
        <v>2249.1</v>
      </c>
      <c r="N193" s="11">
        <v>46204</v>
      </c>
    </row>
    <row r="194" spans="1:14">
      <c r="A194" s="3" t="s">
        <v>470</v>
      </c>
      <c r="B194" s="7">
        <v>46093</v>
      </c>
      <c r="C194" s="3" t="s">
        <v>471</v>
      </c>
      <c r="D194" t="s">
        <v>73</v>
      </c>
      <c r="E194" t="s">
        <v>16</v>
      </c>
      <c r="F194" t="s">
        <v>17</v>
      </c>
      <c r="G194" s="3">
        <v>1</v>
      </c>
      <c r="H194" s="5">
        <v>2499</v>
      </c>
      <c r="I194" s="3">
        <v>10</v>
      </c>
      <c r="J194" t="s">
        <v>85</v>
      </c>
      <c r="K194" t="s">
        <v>19</v>
      </c>
      <c r="L194" t="s">
        <v>145</v>
      </c>
      <c r="M194" s="9">
        <f t="shared" si="2"/>
        <v>2249.1</v>
      </c>
      <c r="N194" s="11">
        <v>46082</v>
      </c>
    </row>
    <row r="195" spans="1:14">
      <c r="A195" s="3" t="s">
        <v>472</v>
      </c>
      <c r="B195" s="7">
        <v>46025</v>
      </c>
      <c r="C195" s="3" t="s">
        <v>473</v>
      </c>
      <c r="D195" t="s">
        <v>106</v>
      </c>
      <c r="E195" t="s">
        <v>23</v>
      </c>
      <c r="F195" t="s">
        <v>214</v>
      </c>
      <c r="G195" s="3">
        <v>1</v>
      </c>
      <c r="H195" s="5">
        <v>1899</v>
      </c>
      <c r="I195" s="3">
        <v>0</v>
      </c>
      <c r="J195" t="s">
        <v>39</v>
      </c>
      <c r="K195" t="s">
        <v>65</v>
      </c>
      <c r="L195" t="s">
        <v>234</v>
      </c>
      <c r="M195" s="9">
        <f t="shared" ref="M195:M251" si="3">G195*H195*(1-I195/100)</f>
        <v>1899</v>
      </c>
      <c r="N195" s="11">
        <v>46023</v>
      </c>
    </row>
    <row r="196" spans="1:14">
      <c r="A196" s="3" t="s">
        <v>474</v>
      </c>
      <c r="B196" s="7">
        <v>46239</v>
      </c>
      <c r="C196" s="3" t="s">
        <v>475</v>
      </c>
      <c r="D196" t="s">
        <v>106</v>
      </c>
      <c r="E196" t="s">
        <v>81</v>
      </c>
      <c r="F196" t="s">
        <v>107</v>
      </c>
      <c r="G196" s="3">
        <v>1</v>
      </c>
      <c r="H196" s="5">
        <v>2899</v>
      </c>
      <c r="I196" s="3">
        <v>10</v>
      </c>
      <c r="J196" t="s">
        <v>25</v>
      </c>
      <c r="K196" t="s">
        <v>34</v>
      </c>
      <c r="L196" t="s">
        <v>234</v>
      </c>
      <c r="M196" s="9">
        <f t="shared" si="3"/>
        <v>2609.1</v>
      </c>
      <c r="N196" s="11">
        <v>46235</v>
      </c>
    </row>
    <row r="197" spans="1:14">
      <c r="A197" s="3" t="s">
        <v>476</v>
      </c>
      <c r="B197" s="7">
        <v>46257</v>
      </c>
      <c r="C197" s="3" t="s">
        <v>477</v>
      </c>
      <c r="D197" t="s">
        <v>15</v>
      </c>
      <c r="E197" t="s">
        <v>31</v>
      </c>
      <c r="F197" t="s">
        <v>211</v>
      </c>
      <c r="G197" s="3">
        <v>1</v>
      </c>
      <c r="H197" s="5">
        <v>2799</v>
      </c>
      <c r="I197" s="3">
        <v>0</v>
      </c>
      <c r="J197" t="s">
        <v>85</v>
      </c>
      <c r="K197" t="s">
        <v>26</v>
      </c>
      <c r="L197" t="s">
        <v>20</v>
      </c>
      <c r="M197" s="9">
        <f t="shared" si="3"/>
        <v>2799</v>
      </c>
      <c r="N197" s="11">
        <v>46235</v>
      </c>
    </row>
    <row r="198" spans="1:14">
      <c r="A198" s="3" t="s">
        <v>478</v>
      </c>
      <c r="B198" s="7">
        <v>46146</v>
      </c>
      <c r="C198" s="3" t="s">
        <v>479</v>
      </c>
      <c r="D198" t="s">
        <v>30</v>
      </c>
      <c r="E198" t="s">
        <v>81</v>
      </c>
      <c r="F198" t="s">
        <v>107</v>
      </c>
      <c r="G198" s="3">
        <v>2</v>
      </c>
      <c r="H198" s="5">
        <v>2899</v>
      </c>
      <c r="I198" s="3">
        <v>10</v>
      </c>
      <c r="J198" t="s">
        <v>85</v>
      </c>
      <c r="K198" t="s">
        <v>40</v>
      </c>
      <c r="L198" t="s">
        <v>35</v>
      </c>
      <c r="M198" s="9">
        <f t="shared" si="3"/>
        <v>5218.2</v>
      </c>
      <c r="N198" s="11">
        <v>46143</v>
      </c>
    </row>
    <row r="199" spans="1:14">
      <c r="A199" s="3" t="s">
        <v>480</v>
      </c>
      <c r="B199" s="7">
        <v>46118</v>
      </c>
      <c r="C199" s="3" t="s">
        <v>481</v>
      </c>
      <c r="D199" t="s">
        <v>73</v>
      </c>
      <c r="E199" t="s">
        <v>81</v>
      </c>
      <c r="F199" t="s">
        <v>82</v>
      </c>
      <c r="G199" s="3">
        <v>1</v>
      </c>
      <c r="H199" s="5">
        <v>1999</v>
      </c>
      <c r="I199" s="3">
        <v>15</v>
      </c>
      <c r="J199" t="s">
        <v>39</v>
      </c>
      <c r="K199" t="s">
        <v>40</v>
      </c>
      <c r="L199" t="s">
        <v>145</v>
      </c>
      <c r="M199" s="9">
        <f t="shared" si="3"/>
        <v>1699.1499999999999</v>
      </c>
      <c r="N199" s="11">
        <v>46113</v>
      </c>
    </row>
    <row r="200" spans="1:14">
      <c r="A200" s="3" t="s">
        <v>482</v>
      </c>
      <c r="B200" s="7">
        <v>46221</v>
      </c>
      <c r="C200" s="3" t="s">
        <v>483</v>
      </c>
      <c r="D200" t="s">
        <v>30</v>
      </c>
      <c r="E200" t="s">
        <v>23</v>
      </c>
      <c r="F200" t="s">
        <v>24</v>
      </c>
      <c r="G200" s="3">
        <v>3</v>
      </c>
      <c r="H200" s="5">
        <v>399</v>
      </c>
      <c r="I200" s="3">
        <v>10</v>
      </c>
      <c r="J200" t="s">
        <v>18</v>
      </c>
      <c r="K200" t="s">
        <v>34</v>
      </c>
      <c r="L200" t="s">
        <v>148</v>
      </c>
      <c r="M200" s="9">
        <f t="shared" si="3"/>
        <v>1077.3</v>
      </c>
      <c r="N200" s="11">
        <v>46204</v>
      </c>
    </row>
    <row r="201" spans="1:14">
      <c r="A201" s="3" t="s">
        <v>484</v>
      </c>
      <c r="B201" s="7">
        <v>46193</v>
      </c>
      <c r="C201" s="3" t="s">
        <v>485</v>
      </c>
      <c r="D201" t="s">
        <v>15</v>
      </c>
      <c r="E201" t="s">
        <v>31</v>
      </c>
      <c r="F201" t="s">
        <v>171</v>
      </c>
      <c r="G201" s="3">
        <v>2</v>
      </c>
      <c r="H201" s="5">
        <v>1599</v>
      </c>
      <c r="I201" s="3">
        <v>0</v>
      </c>
      <c r="J201" t="s">
        <v>39</v>
      </c>
      <c r="K201" t="s">
        <v>26</v>
      </c>
      <c r="L201" t="s">
        <v>46</v>
      </c>
      <c r="M201" s="9">
        <f t="shared" si="3"/>
        <v>3198</v>
      </c>
      <c r="N201" s="11">
        <v>46174</v>
      </c>
    </row>
    <row r="202" spans="1:14">
      <c r="A202" s="3" t="s">
        <v>486</v>
      </c>
      <c r="B202" s="7">
        <v>46268</v>
      </c>
      <c r="C202" s="3" t="s">
        <v>487</v>
      </c>
      <c r="D202" t="s">
        <v>73</v>
      </c>
      <c r="E202" t="s">
        <v>31</v>
      </c>
      <c r="F202" t="s">
        <v>211</v>
      </c>
      <c r="G202" s="3">
        <v>2</v>
      </c>
      <c r="H202" s="5">
        <v>2799</v>
      </c>
      <c r="I202" s="3">
        <v>5</v>
      </c>
      <c r="J202" t="s">
        <v>18</v>
      </c>
      <c r="K202" t="s">
        <v>19</v>
      </c>
      <c r="L202" t="s">
        <v>180</v>
      </c>
      <c r="M202" s="9">
        <f t="shared" si="3"/>
        <v>5318.0999999999995</v>
      </c>
      <c r="N202" s="11">
        <v>46266</v>
      </c>
    </row>
    <row r="203" spans="1:14">
      <c r="A203" s="3" t="s">
        <v>488</v>
      </c>
      <c r="B203" s="7">
        <v>46045</v>
      </c>
      <c r="C203" s="3" t="s">
        <v>489</v>
      </c>
      <c r="D203" t="s">
        <v>49</v>
      </c>
      <c r="E203" t="s">
        <v>16</v>
      </c>
      <c r="F203" t="s">
        <v>17</v>
      </c>
      <c r="G203" s="3">
        <v>2</v>
      </c>
      <c r="H203" s="5">
        <v>2499</v>
      </c>
      <c r="I203" s="3">
        <v>0</v>
      </c>
      <c r="J203" t="s">
        <v>39</v>
      </c>
      <c r="K203" t="s">
        <v>34</v>
      </c>
      <c r="L203" t="s">
        <v>86</v>
      </c>
      <c r="M203" s="9">
        <f t="shared" si="3"/>
        <v>4998</v>
      </c>
      <c r="N203" s="11">
        <v>46023</v>
      </c>
    </row>
    <row r="204" spans="1:14">
      <c r="A204" s="3" t="s">
        <v>490</v>
      </c>
      <c r="B204" s="7">
        <v>46041</v>
      </c>
      <c r="C204" s="3" t="s">
        <v>491</v>
      </c>
      <c r="D204" t="s">
        <v>59</v>
      </c>
      <c r="E204" t="s">
        <v>23</v>
      </c>
      <c r="F204" t="s">
        <v>38</v>
      </c>
      <c r="G204" s="3">
        <v>2</v>
      </c>
      <c r="H204" s="5">
        <v>1499</v>
      </c>
      <c r="I204" s="3">
        <v>10</v>
      </c>
      <c r="J204" t="s">
        <v>39</v>
      </c>
      <c r="K204" t="s">
        <v>40</v>
      </c>
      <c r="L204" t="s">
        <v>190</v>
      </c>
      <c r="M204" s="9">
        <f t="shared" si="3"/>
        <v>2698.2000000000003</v>
      </c>
      <c r="N204" s="11">
        <v>46023</v>
      </c>
    </row>
    <row r="205" spans="1:14">
      <c r="A205" s="3" t="s">
        <v>492</v>
      </c>
      <c r="B205" s="7">
        <v>46246</v>
      </c>
      <c r="C205" s="3" t="s">
        <v>493</v>
      </c>
      <c r="D205" t="s">
        <v>73</v>
      </c>
      <c r="E205" t="s">
        <v>44</v>
      </c>
      <c r="F205" t="s">
        <v>45</v>
      </c>
      <c r="G205" s="3">
        <v>4</v>
      </c>
      <c r="H205" s="5">
        <v>1199</v>
      </c>
      <c r="I205" s="3">
        <v>20</v>
      </c>
      <c r="J205" t="s">
        <v>85</v>
      </c>
      <c r="K205" t="s">
        <v>97</v>
      </c>
      <c r="L205" t="s">
        <v>75</v>
      </c>
      <c r="M205" s="9">
        <f t="shared" si="3"/>
        <v>3836.8</v>
      </c>
      <c r="N205" s="11">
        <v>46235</v>
      </c>
    </row>
    <row r="206" spans="1:14">
      <c r="A206" s="3" t="s">
        <v>494</v>
      </c>
      <c r="B206" s="7">
        <v>46211</v>
      </c>
      <c r="C206" s="3" t="s">
        <v>495</v>
      </c>
      <c r="D206" t="s">
        <v>73</v>
      </c>
      <c r="E206" t="s">
        <v>23</v>
      </c>
      <c r="F206" t="s">
        <v>214</v>
      </c>
      <c r="G206" s="3">
        <v>5</v>
      </c>
      <c r="H206" s="5">
        <v>1899</v>
      </c>
      <c r="I206" s="3">
        <v>10</v>
      </c>
      <c r="J206" t="s">
        <v>18</v>
      </c>
      <c r="K206" t="s">
        <v>19</v>
      </c>
      <c r="L206" t="s">
        <v>145</v>
      </c>
      <c r="M206" s="9">
        <f t="shared" si="3"/>
        <v>8545.5</v>
      </c>
      <c r="N206" s="11">
        <v>46204</v>
      </c>
    </row>
    <row r="207" spans="1:14">
      <c r="A207" s="3" t="s">
        <v>496</v>
      </c>
      <c r="B207" s="7">
        <v>46115</v>
      </c>
      <c r="C207" s="3" t="s">
        <v>497</v>
      </c>
      <c r="D207" t="s">
        <v>59</v>
      </c>
      <c r="E207" t="s">
        <v>23</v>
      </c>
      <c r="F207" t="s">
        <v>89</v>
      </c>
      <c r="G207" s="3">
        <v>5</v>
      </c>
      <c r="H207" s="5">
        <v>2199</v>
      </c>
      <c r="I207" s="3">
        <v>10</v>
      </c>
      <c r="J207" t="s">
        <v>39</v>
      </c>
      <c r="K207" t="s">
        <v>40</v>
      </c>
      <c r="L207" t="s">
        <v>185</v>
      </c>
      <c r="M207" s="9">
        <f t="shared" si="3"/>
        <v>9895.5</v>
      </c>
      <c r="N207" s="11">
        <v>46113</v>
      </c>
    </row>
    <row r="208" spans="1:14">
      <c r="A208" s="3" t="s">
        <v>498</v>
      </c>
      <c r="B208" s="7">
        <v>46251</v>
      </c>
      <c r="C208" s="3" t="s">
        <v>499</v>
      </c>
      <c r="D208" t="s">
        <v>15</v>
      </c>
      <c r="E208" t="s">
        <v>16</v>
      </c>
      <c r="F208" t="s">
        <v>101</v>
      </c>
      <c r="G208" s="3">
        <v>5</v>
      </c>
      <c r="H208" s="5">
        <v>1799</v>
      </c>
      <c r="I208" s="3">
        <v>20</v>
      </c>
      <c r="J208" t="s">
        <v>85</v>
      </c>
      <c r="K208" t="s">
        <v>65</v>
      </c>
      <c r="L208" t="s">
        <v>46</v>
      </c>
      <c r="M208" s="9">
        <f t="shared" si="3"/>
        <v>7196</v>
      </c>
      <c r="N208" s="11">
        <v>46235</v>
      </c>
    </row>
    <row r="209" spans="1:14">
      <c r="A209" s="3" t="s">
        <v>500</v>
      </c>
      <c r="B209" s="7">
        <v>46203</v>
      </c>
      <c r="C209" s="3" t="s">
        <v>501</v>
      </c>
      <c r="D209" t="s">
        <v>49</v>
      </c>
      <c r="E209" t="s">
        <v>23</v>
      </c>
      <c r="F209" t="s">
        <v>24</v>
      </c>
      <c r="G209" s="3">
        <v>5</v>
      </c>
      <c r="H209" s="5">
        <v>399</v>
      </c>
      <c r="I209" s="3">
        <v>10</v>
      </c>
      <c r="J209" t="s">
        <v>39</v>
      </c>
      <c r="K209" t="s">
        <v>19</v>
      </c>
      <c r="L209" t="s">
        <v>70</v>
      </c>
      <c r="M209" s="9">
        <f t="shared" si="3"/>
        <v>1795.5</v>
      </c>
      <c r="N209" s="11">
        <v>46174</v>
      </c>
    </row>
    <row r="210" spans="1:14">
      <c r="A210" s="3" t="s">
        <v>502</v>
      </c>
      <c r="B210" s="7">
        <v>46285</v>
      </c>
      <c r="C210" s="3" t="s">
        <v>503</v>
      </c>
      <c r="D210" t="s">
        <v>30</v>
      </c>
      <c r="E210" t="s">
        <v>23</v>
      </c>
      <c r="F210" t="s">
        <v>38</v>
      </c>
      <c r="G210" s="3">
        <v>2</v>
      </c>
      <c r="H210" s="5">
        <v>1499</v>
      </c>
      <c r="I210" s="3">
        <v>0</v>
      </c>
      <c r="J210" t="s">
        <v>25</v>
      </c>
      <c r="K210" t="s">
        <v>26</v>
      </c>
      <c r="L210" t="s">
        <v>41</v>
      </c>
      <c r="M210" s="9">
        <f t="shared" si="3"/>
        <v>2998</v>
      </c>
      <c r="N210" s="11">
        <v>46266</v>
      </c>
    </row>
    <row r="211" spans="1:14">
      <c r="A211" s="3" t="s">
        <v>504</v>
      </c>
      <c r="B211" s="7">
        <v>46143</v>
      </c>
      <c r="C211" s="3" t="s">
        <v>505</v>
      </c>
      <c r="D211" t="s">
        <v>49</v>
      </c>
      <c r="E211" t="s">
        <v>31</v>
      </c>
      <c r="F211" t="s">
        <v>171</v>
      </c>
      <c r="G211" s="3">
        <v>3</v>
      </c>
      <c r="H211" s="5">
        <v>1599</v>
      </c>
      <c r="I211" s="3">
        <v>10</v>
      </c>
      <c r="J211" t="s">
        <v>85</v>
      </c>
      <c r="K211" t="s">
        <v>26</v>
      </c>
      <c r="L211" t="s">
        <v>86</v>
      </c>
      <c r="M211" s="9">
        <f t="shared" si="3"/>
        <v>4317.3</v>
      </c>
      <c r="N211" s="11">
        <v>46143</v>
      </c>
    </row>
    <row r="212" spans="1:14">
      <c r="A212" s="3" t="s">
        <v>506</v>
      </c>
      <c r="B212" s="7">
        <v>46212</v>
      </c>
      <c r="C212" s="3" t="s">
        <v>507</v>
      </c>
      <c r="D212" t="s">
        <v>30</v>
      </c>
      <c r="E212" t="s">
        <v>31</v>
      </c>
      <c r="F212" t="s">
        <v>211</v>
      </c>
      <c r="G212" s="3">
        <v>3</v>
      </c>
      <c r="H212" s="5">
        <v>2799</v>
      </c>
      <c r="I212" s="3">
        <v>10</v>
      </c>
      <c r="J212" t="s">
        <v>18</v>
      </c>
      <c r="K212" t="s">
        <v>26</v>
      </c>
      <c r="L212" t="s">
        <v>35</v>
      </c>
      <c r="M212" s="9">
        <f t="shared" si="3"/>
        <v>7557.3</v>
      </c>
      <c r="N212" s="11">
        <v>46204</v>
      </c>
    </row>
    <row r="213" spans="1:14">
      <c r="A213" s="3" t="s">
        <v>508</v>
      </c>
      <c r="B213" s="7">
        <v>46183</v>
      </c>
      <c r="C213" s="3" t="s">
        <v>509</v>
      </c>
      <c r="D213" t="s">
        <v>106</v>
      </c>
      <c r="E213" t="s">
        <v>16</v>
      </c>
      <c r="F213" t="s">
        <v>111</v>
      </c>
      <c r="G213" s="3">
        <v>3</v>
      </c>
      <c r="H213" s="5">
        <v>1999</v>
      </c>
      <c r="I213" s="3">
        <v>5</v>
      </c>
      <c r="J213" t="s">
        <v>18</v>
      </c>
      <c r="K213" t="s">
        <v>40</v>
      </c>
      <c r="L213" t="s">
        <v>234</v>
      </c>
      <c r="M213" s="9">
        <f t="shared" si="3"/>
        <v>5697.15</v>
      </c>
      <c r="N213" s="11">
        <v>46174</v>
      </c>
    </row>
    <row r="214" spans="1:14">
      <c r="A214" s="3" t="s">
        <v>510</v>
      </c>
      <c r="B214" s="7">
        <v>46083</v>
      </c>
      <c r="C214" s="3" t="s">
        <v>511</v>
      </c>
      <c r="D214" t="s">
        <v>106</v>
      </c>
      <c r="E214" t="s">
        <v>81</v>
      </c>
      <c r="F214" t="s">
        <v>82</v>
      </c>
      <c r="G214" s="3">
        <v>3</v>
      </c>
      <c r="H214" s="5">
        <v>1999</v>
      </c>
      <c r="I214" s="3">
        <v>10</v>
      </c>
      <c r="J214" t="s">
        <v>85</v>
      </c>
      <c r="K214" t="s">
        <v>65</v>
      </c>
      <c r="L214" t="s">
        <v>108</v>
      </c>
      <c r="M214" s="9">
        <f t="shared" si="3"/>
        <v>5397.3</v>
      </c>
      <c r="N214" s="11">
        <v>46082</v>
      </c>
    </row>
    <row r="215" spans="1:14">
      <c r="A215" s="3" t="s">
        <v>512</v>
      </c>
      <c r="B215" s="7">
        <v>46085</v>
      </c>
      <c r="C215" s="3" t="s">
        <v>513</v>
      </c>
      <c r="D215" t="s">
        <v>63</v>
      </c>
      <c r="E215" t="s">
        <v>23</v>
      </c>
      <c r="F215" t="s">
        <v>78</v>
      </c>
      <c r="G215" s="3">
        <v>2</v>
      </c>
      <c r="H215" s="5">
        <v>599</v>
      </c>
      <c r="I215" s="3">
        <v>0</v>
      </c>
      <c r="J215" t="s">
        <v>85</v>
      </c>
      <c r="K215" t="s">
        <v>65</v>
      </c>
      <c r="L215" t="s">
        <v>66</v>
      </c>
      <c r="M215" s="9">
        <f t="shared" si="3"/>
        <v>1198</v>
      </c>
      <c r="N215" s="11">
        <v>46082</v>
      </c>
    </row>
    <row r="216" spans="1:14">
      <c r="A216" s="3" t="s">
        <v>514</v>
      </c>
      <c r="B216" s="7">
        <v>46056</v>
      </c>
      <c r="C216" s="3" t="s">
        <v>515</v>
      </c>
      <c r="D216" t="s">
        <v>49</v>
      </c>
      <c r="E216" t="s">
        <v>16</v>
      </c>
      <c r="F216" t="s">
        <v>101</v>
      </c>
      <c r="G216" s="3">
        <v>5</v>
      </c>
      <c r="H216" s="5">
        <v>1799</v>
      </c>
      <c r="I216" s="3">
        <v>15</v>
      </c>
      <c r="J216" t="s">
        <v>39</v>
      </c>
      <c r="K216" t="s">
        <v>34</v>
      </c>
      <c r="L216" t="s">
        <v>86</v>
      </c>
      <c r="M216" s="9">
        <f t="shared" si="3"/>
        <v>7645.75</v>
      </c>
      <c r="N216" s="11">
        <v>46054</v>
      </c>
    </row>
    <row r="217" spans="1:14">
      <c r="A217" s="3" t="s">
        <v>516</v>
      </c>
      <c r="B217" s="7">
        <v>46283</v>
      </c>
      <c r="C217" s="3" t="s">
        <v>517</v>
      </c>
      <c r="D217" t="s">
        <v>106</v>
      </c>
      <c r="E217" t="s">
        <v>31</v>
      </c>
      <c r="F217" t="s">
        <v>219</v>
      </c>
      <c r="G217" s="3">
        <v>2</v>
      </c>
      <c r="H217" s="5">
        <v>4999</v>
      </c>
      <c r="I217" s="3">
        <v>0</v>
      </c>
      <c r="J217" t="s">
        <v>25</v>
      </c>
      <c r="K217" t="s">
        <v>65</v>
      </c>
      <c r="L217" t="s">
        <v>234</v>
      </c>
      <c r="M217" s="9">
        <f t="shared" si="3"/>
        <v>9998</v>
      </c>
      <c r="N217" s="11">
        <v>46266</v>
      </c>
    </row>
    <row r="218" spans="1:14">
      <c r="A218" s="3" t="s">
        <v>518</v>
      </c>
      <c r="B218" s="7">
        <v>46211</v>
      </c>
      <c r="C218" s="3" t="s">
        <v>519</v>
      </c>
      <c r="D218" t="s">
        <v>54</v>
      </c>
      <c r="E218" t="s">
        <v>44</v>
      </c>
      <c r="F218" t="s">
        <v>45</v>
      </c>
      <c r="G218" s="3">
        <v>4</v>
      </c>
      <c r="H218" s="5">
        <v>1199</v>
      </c>
      <c r="I218" s="3">
        <v>15</v>
      </c>
      <c r="J218" t="s">
        <v>25</v>
      </c>
      <c r="K218" t="s">
        <v>26</v>
      </c>
      <c r="L218" t="s">
        <v>140</v>
      </c>
      <c r="M218" s="9">
        <f t="shared" si="3"/>
        <v>4076.6</v>
      </c>
      <c r="N218" s="11">
        <v>46204</v>
      </c>
    </row>
    <row r="219" spans="1:14">
      <c r="A219" s="3" t="s">
        <v>520</v>
      </c>
      <c r="B219" s="7">
        <v>46268</v>
      </c>
      <c r="C219" s="3" t="s">
        <v>521</v>
      </c>
      <c r="D219" t="s">
        <v>15</v>
      </c>
      <c r="E219" t="s">
        <v>16</v>
      </c>
      <c r="F219" t="s">
        <v>111</v>
      </c>
      <c r="G219" s="3">
        <v>5</v>
      </c>
      <c r="H219" s="5">
        <v>1999</v>
      </c>
      <c r="I219" s="3">
        <v>10</v>
      </c>
      <c r="J219" t="s">
        <v>85</v>
      </c>
      <c r="K219" t="s">
        <v>26</v>
      </c>
      <c r="L219" t="s">
        <v>20</v>
      </c>
      <c r="M219" s="9">
        <f t="shared" si="3"/>
        <v>8995.5</v>
      </c>
      <c r="N219" s="11">
        <v>46266</v>
      </c>
    </row>
    <row r="220" spans="1:14">
      <c r="A220" s="3" t="s">
        <v>522</v>
      </c>
      <c r="B220" s="7">
        <v>46253</v>
      </c>
      <c r="C220" s="3" t="s">
        <v>523</v>
      </c>
      <c r="D220" t="s">
        <v>15</v>
      </c>
      <c r="E220" t="s">
        <v>16</v>
      </c>
      <c r="F220" t="s">
        <v>74</v>
      </c>
      <c r="G220" s="3">
        <v>4</v>
      </c>
      <c r="H220" s="5">
        <v>1299</v>
      </c>
      <c r="I220" s="3">
        <v>20</v>
      </c>
      <c r="J220" t="s">
        <v>33</v>
      </c>
      <c r="K220" t="s">
        <v>34</v>
      </c>
      <c r="L220" t="s">
        <v>20</v>
      </c>
      <c r="M220" s="9">
        <f t="shared" si="3"/>
        <v>4156.8</v>
      </c>
      <c r="N220" s="11">
        <v>46235</v>
      </c>
    </row>
    <row r="221" spans="1:14">
      <c r="A221" s="3" t="s">
        <v>524</v>
      </c>
      <c r="B221" s="7">
        <v>46089</v>
      </c>
      <c r="C221" s="3" t="s">
        <v>525</v>
      </c>
      <c r="D221" t="s">
        <v>106</v>
      </c>
      <c r="E221" t="s">
        <v>81</v>
      </c>
      <c r="F221" t="s">
        <v>119</v>
      </c>
      <c r="G221" s="3">
        <v>4</v>
      </c>
      <c r="H221" s="5">
        <v>2499</v>
      </c>
      <c r="I221" s="3">
        <v>15</v>
      </c>
      <c r="J221" t="s">
        <v>18</v>
      </c>
      <c r="K221" t="s">
        <v>40</v>
      </c>
      <c r="L221" t="s">
        <v>234</v>
      </c>
      <c r="M221" s="9">
        <f t="shared" si="3"/>
        <v>8496.6</v>
      </c>
      <c r="N221" s="11">
        <v>46082</v>
      </c>
    </row>
    <row r="222" spans="1:14">
      <c r="A222" s="3" t="s">
        <v>526</v>
      </c>
      <c r="B222" s="7">
        <v>46188</v>
      </c>
      <c r="C222" s="3" t="s">
        <v>527</v>
      </c>
      <c r="D222" t="s">
        <v>106</v>
      </c>
      <c r="E222" t="s">
        <v>31</v>
      </c>
      <c r="F222" t="s">
        <v>168</v>
      </c>
      <c r="G222" s="3">
        <v>2</v>
      </c>
      <c r="H222" s="5">
        <v>3299</v>
      </c>
      <c r="I222" s="3">
        <v>10</v>
      </c>
      <c r="J222" t="s">
        <v>33</v>
      </c>
      <c r="K222" t="s">
        <v>34</v>
      </c>
      <c r="L222" t="s">
        <v>108</v>
      </c>
      <c r="M222" s="9">
        <f t="shared" si="3"/>
        <v>5938.2</v>
      </c>
      <c r="N222" s="11">
        <v>46174</v>
      </c>
    </row>
    <row r="223" spans="1:14">
      <c r="A223" s="3" t="s">
        <v>528</v>
      </c>
      <c r="B223" s="7">
        <v>46163</v>
      </c>
      <c r="C223" s="3" t="s">
        <v>529</v>
      </c>
      <c r="D223" t="s">
        <v>15</v>
      </c>
      <c r="E223" t="s">
        <v>31</v>
      </c>
      <c r="F223" t="s">
        <v>32</v>
      </c>
      <c r="G223" s="3">
        <v>2</v>
      </c>
      <c r="H223" s="5">
        <v>999</v>
      </c>
      <c r="I223" s="3">
        <v>20</v>
      </c>
      <c r="J223" t="s">
        <v>39</v>
      </c>
      <c r="K223" t="s">
        <v>26</v>
      </c>
      <c r="L223" t="s">
        <v>46</v>
      </c>
      <c r="M223" s="9">
        <f t="shared" si="3"/>
        <v>1598.4</v>
      </c>
      <c r="N223" s="11">
        <v>46143</v>
      </c>
    </row>
    <row r="224" spans="1:14">
      <c r="A224" s="3" t="s">
        <v>530</v>
      </c>
      <c r="B224" s="7">
        <v>46101</v>
      </c>
      <c r="C224" s="3" t="s">
        <v>531</v>
      </c>
      <c r="D224" t="s">
        <v>15</v>
      </c>
      <c r="E224" t="s">
        <v>31</v>
      </c>
      <c r="F224" t="s">
        <v>32</v>
      </c>
      <c r="G224" s="3">
        <v>2</v>
      </c>
      <c r="H224" s="5">
        <v>999</v>
      </c>
      <c r="I224" s="3">
        <v>20</v>
      </c>
      <c r="J224" t="s">
        <v>33</v>
      </c>
      <c r="K224" t="s">
        <v>19</v>
      </c>
      <c r="L224" t="s">
        <v>27</v>
      </c>
      <c r="M224" s="9">
        <f t="shared" si="3"/>
        <v>1598.4</v>
      </c>
      <c r="N224" s="11">
        <v>46082</v>
      </c>
    </row>
    <row r="225" spans="1:14">
      <c r="A225" s="3" t="s">
        <v>532</v>
      </c>
      <c r="B225" s="7">
        <v>46064</v>
      </c>
      <c r="C225" s="3" t="s">
        <v>533</v>
      </c>
      <c r="D225" t="s">
        <v>73</v>
      </c>
      <c r="E225" t="s">
        <v>44</v>
      </c>
      <c r="F225" t="s">
        <v>55</v>
      </c>
      <c r="G225" s="3">
        <v>1</v>
      </c>
      <c r="H225" s="5">
        <v>799</v>
      </c>
      <c r="I225" s="3">
        <v>20</v>
      </c>
      <c r="J225" t="s">
        <v>33</v>
      </c>
      <c r="K225" t="s">
        <v>34</v>
      </c>
      <c r="L225" t="s">
        <v>180</v>
      </c>
      <c r="M225" s="9">
        <f t="shared" si="3"/>
        <v>639.20000000000005</v>
      </c>
      <c r="N225" s="11">
        <v>46054</v>
      </c>
    </row>
    <row r="226" spans="1:14">
      <c r="A226" s="3" t="s">
        <v>534</v>
      </c>
      <c r="B226" s="7">
        <v>46038</v>
      </c>
      <c r="C226" s="3" t="s">
        <v>535</v>
      </c>
      <c r="D226" t="s">
        <v>54</v>
      </c>
      <c r="E226" t="s">
        <v>23</v>
      </c>
      <c r="F226" t="s">
        <v>89</v>
      </c>
      <c r="G226" s="3">
        <v>4</v>
      </c>
      <c r="H226" s="5">
        <v>2199</v>
      </c>
      <c r="I226" s="3">
        <v>20</v>
      </c>
      <c r="J226" t="s">
        <v>33</v>
      </c>
      <c r="K226" t="s">
        <v>34</v>
      </c>
      <c r="L226" t="s">
        <v>56</v>
      </c>
      <c r="M226" s="9">
        <f t="shared" si="3"/>
        <v>7036.8</v>
      </c>
      <c r="N226" s="11">
        <v>46023</v>
      </c>
    </row>
    <row r="227" spans="1:14">
      <c r="A227" s="3" t="s">
        <v>536</v>
      </c>
      <c r="B227" s="7">
        <v>46175</v>
      </c>
      <c r="C227" s="3" t="s">
        <v>537</v>
      </c>
      <c r="D227" t="s">
        <v>63</v>
      </c>
      <c r="E227" t="s">
        <v>31</v>
      </c>
      <c r="F227" t="s">
        <v>211</v>
      </c>
      <c r="G227" s="3">
        <v>4</v>
      </c>
      <c r="H227" s="5">
        <v>2799</v>
      </c>
      <c r="I227" s="3">
        <v>0</v>
      </c>
      <c r="J227" t="s">
        <v>18</v>
      </c>
      <c r="K227" t="s">
        <v>65</v>
      </c>
      <c r="L227" t="s">
        <v>112</v>
      </c>
      <c r="M227" s="9">
        <f t="shared" si="3"/>
        <v>11196</v>
      </c>
      <c r="N227" s="11">
        <v>46174</v>
      </c>
    </row>
    <row r="228" spans="1:14">
      <c r="A228" s="3" t="s">
        <v>538</v>
      </c>
      <c r="B228" s="7">
        <v>46127</v>
      </c>
      <c r="C228" s="3" t="s">
        <v>539</v>
      </c>
      <c r="D228" t="s">
        <v>49</v>
      </c>
      <c r="E228" t="s">
        <v>23</v>
      </c>
      <c r="F228" t="s">
        <v>214</v>
      </c>
      <c r="G228" s="3">
        <v>3</v>
      </c>
      <c r="H228" s="5">
        <v>1899</v>
      </c>
      <c r="I228" s="3">
        <v>15</v>
      </c>
      <c r="J228" t="s">
        <v>25</v>
      </c>
      <c r="K228" t="s">
        <v>34</v>
      </c>
      <c r="L228" t="s">
        <v>70</v>
      </c>
      <c r="M228" s="9">
        <f t="shared" si="3"/>
        <v>4842.45</v>
      </c>
      <c r="N228" s="11">
        <v>46113</v>
      </c>
    </row>
    <row r="229" spans="1:14">
      <c r="A229" s="3" t="s">
        <v>540</v>
      </c>
      <c r="B229" s="7">
        <v>46089</v>
      </c>
      <c r="C229" s="3" t="s">
        <v>541</v>
      </c>
      <c r="D229" t="s">
        <v>73</v>
      </c>
      <c r="E229" t="s">
        <v>16</v>
      </c>
      <c r="F229" t="s">
        <v>111</v>
      </c>
      <c r="G229" s="3">
        <v>3</v>
      </c>
      <c r="H229" s="5">
        <v>1999</v>
      </c>
      <c r="I229" s="3">
        <v>15</v>
      </c>
      <c r="J229" t="s">
        <v>33</v>
      </c>
      <c r="K229" t="s">
        <v>40</v>
      </c>
      <c r="L229" t="s">
        <v>180</v>
      </c>
      <c r="M229" s="9">
        <f t="shared" si="3"/>
        <v>5097.45</v>
      </c>
      <c r="N229" s="11">
        <v>46082</v>
      </c>
    </row>
    <row r="230" spans="1:14">
      <c r="A230" s="3" t="s">
        <v>542</v>
      </c>
      <c r="B230" s="7">
        <v>46159</v>
      </c>
      <c r="C230" s="3" t="s">
        <v>543</v>
      </c>
      <c r="D230" t="s">
        <v>73</v>
      </c>
      <c r="E230" t="s">
        <v>23</v>
      </c>
      <c r="F230" t="s">
        <v>24</v>
      </c>
      <c r="G230" s="3">
        <v>4</v>
      </c>
      <c r="H230" s="5">
        <v>399</v>
      </c>
      <c r="I230" s="3">
        <v>5</v>
      </c>
      <c r="J230" t="s">
        <v>25</v>
      </c>
      <c r="K230" t="s">
        <v>40</v>
      </c>
      <c r="L230" t="s">
        <v>145</v>
      </c>
      <c r="M230" s="9">
        <f t="shared" si="3"/>
        <v>1516.1999999999998</v>
      </c>
      <c r="N230" s="11">
        <v>46143</v>
      </c>
    </row>
    <row r="231" spans="1:14">
      <c r="A231" s="3" t="s">
        <v>544</v>
      </c>
      <c r="B231" s="7">
        <v>46237</v>
      </c>
      <c r="C231" s="3" t="s">
        <v>545</v>
      </c>
      <c r="D231" t="s">
        <v>30</v>
      </c>
      <c r="E231" t="s">
        <v>23</v>
      </c>
      <c r="F231" t="s">
        <v>89</v>
      </c>
      <c r="G231" s="3">
        <v>2</v>
      </c>
      <c r="H231" s="5">
        <v>2199</v>
      </c>
      <c r="I231" s="3">
        <v>5</v>
      </c>
      <c r="J231" t="s">
        <v>39</v>
      </c>
      <c r="K231" t="s">
        <v>26</v>
      </c>
      <c r="L231" t="s">
        <v>148</v>
      </c>
      <c r="M231" s="9">
        <f t="shared" si="3"/>
        <v>4178.0999999999995</v>
      </c>
      <c r="N231" s="11">
        <v>46235</v>
      </c>
    </row>
    <row r="232" spans="1:14">
      <c r="A232" s="3" t="s">
        <v>546</v>
      </c>
      <c r="B232" s="7">
        <v>46286</v>
      </c>
      <c r="C232" s="3" t="s">
        <v>547</v>
      </c>
      <c r="D232" t="s">
        <v>73</v>
      </c>
      <c r="E232" t="s">
        <v>31</v>
      </c>
      <c r="F232" t="s">
        <v>211</v>
      </c>
      <c r="G232" s="3">
        <v>4</v>
      </c>
      <c r="H232" s="5">
        <v>2799</v>
      </c>
      <c r="I232" s="3">
        <v>10</v>
      </c>
      <c r="J232" t="s">
        <v>39</v>
      </c>
      <c r="K232" t="s">
        <v>97</v>
      </c>
      <c r="L232" t="s">
        <v>145</v>
      </c>
      <c r="M232" s="9">
        <f t="shared" si="3"/>
        <v>10076.4</v>
      </c>
      <c r="N232" s="11">
        <v>46266</v>
      </c>
    </row>
    <row r="233" spans="1:14">
      <c r="A233" s="3" t="s">
        <v>548</v>
      </c>
      <c r="B233" s="7">
        <v>46257</v>
      </c>
      <c r="C233" s="3" t="s">
        <v>549</v>
      </c>
      <c r="D233" t="s">
        <v>30</v>
      </c>
      <c r="E233" t="s">
        <v>23</v>
      </c>
      <c r="F233" t="s">
        <v>89</v>
      </c>
      <c r="G233" s="3">
        <v>2</v>
      </c>
      <c r="H233" s="5">
        <v>2199</v>
      </c>
      <c r="I233" s="3">
        <v>5</v>
      </c>
      <c r="J233" t="s">
        <v>33</v>
      </c>
      <c r="K233" t="s">
        <v>34</v>
      </c>
      <c r="L233" t="s">
        <v>41</v>
      </c>
      <c r="M233" s="9">
        <f t="shared" si="3"/>
        <v>4178.0999999999995</v>
      </c>
      <c r="N233" s="11">
        <v>46235</v>
      </c>
    </row>
    <row r="234" spans="1:14">
      <c r="A234" s="3" t="s">
        <v>550</v>
      </c>
      <c r="B234" s="7">
        <v>46263</v>
      </c>
      <c r="C234" s="3" t="s">
        <v>551</v>
      </c>
      <c r="D234" t="s">
        <v>30</v>
      </c>
      <c r="E234" t="s">
        <v>16</v>
      </c>
      <c r="F234" t="s">
        <v>111</v>
      </c>
      <c r="G234" s="3">
        <v>3</v>
      </c>
      <c r="H234" s="5">
        <v>1999</v>
      </c>
      <c r="I234" s="3">
        <v>15</v>
      </c>
      <c r="J234" t="s">
        <v>18</v>
      </c>
      <c r="K234" t="s">
        <v>40</v>
      </c>
      <c r="L234" t="s">
        <v>41</v>
      </c>
      <c r="M234" s="9">
        <f t="shared" si="3"/>
        <v>5097.45</v>
      </c>
      <c r="N234" s="11">
        <v>46235</v>
      </c>
    </row>
    <row r="235" spans="1:14">
      <c r="A235" s="3" t="s">
        <v>552</v>
      </c>
      <c r="B235" s="7">
        <v>46229</v>
      </c>
      <c r="C235" s="3" t="s">
        <v>553</v>
      </c>
      <c r="D235" t="s">
        <v>59</v>
      </c>
      <c r="E235" t="s">
        <v>16</v>
      </c>
      <c r="F235" t="s">
        <v>101</v>
      </c>
      <c r="G235" s="3">
        <v>3</v>
      </c>
      <c r="H235" s="5">
        <v>1799</v>
      </c>
      <c r="I235" s="3">
        <v>0</v>
      </c>
      <c r="J235" t="s">
        <v>85</v>
      </c>
      <c r="K235" t="s">
        <v>40</v>
      </c>
      <c r="L235" t="s">
        <v>185</v>
      </c>
      <c r="M235" s="9">
        <f t="shared" si="3"/>
        <v>5397</v>
      </c>
      <c r="N235" s="11">
        <v>46204</v>
      </c>
    </row>
    <row r="236" spans="1:14">
      <c r="A236" s="3" t="s">
        <v>554</v>
      </c>
      <c r="B236" s="7">
        <v>46060</v>
      </c>
      <c r="C236" s="3" t="s">
        <v>555</v>
      </c>
      <c r="D236" t="s">
        <v>54</v>
      </c>
      <c r="E236" t="s">
        <v>81</v>
      </c>
      <c r="F236" t="s">
        <v>92</v>
      </c>
      <c r="G236" s="3">
        <v>4</v>
      </c>
      <c r="H236" s="5">
        <v>999</v>
      </c>
      <c r="I236" s="3">
        <v>15</v>
      </c>
      <c r="J236" t="s">
        <v>85</v>
      </c>
      <c r="K236" t="s">
        <v>26</v>
      </c>
      <c r="L236" t="s">
        <v>140</v>
      </c>
      <c r="M236" s="9">
        <f t="shared" si="3"/>
        <v>3396.6</v>
      </c>
      <c r="N236" s="11">
        <v>46054</v>
      </c>
    </row>
    <row r="237" spans="1:14">
      <c r="A237" s="3" t="s">
        <v>556</v>
      </c>
      <c r="B237" s="7">
        <v>46088</v>
      </c>
      <c r="C237" s="3" t="s">
        <v>557</v>
      </c>
      <c r="D237" t="s">
        <v>63</v>
      </c>
      <c r="E237" t="s">
        <v>81</v>
      </c>
      <c r="F237" t="s">
        <v>128</v>
      </c>
      <c r="G237" s="3">
        <v>1</v>
      </c>
      <c r="H237" s="5">
        <v>899</v>
      </c>
      <c r="I237" s="3">
        <v>10</v>
      </c>
      <c r="J237" t="s">
        <v>39</v>
      </c>
      <c r="K237" t="s">
        <v>34</v>
      </c>
      <c r="L237" t="s">
        <v>66</v>
      </c>
      <c r="M237" s="9">
        <f t="shared" si="3"/>
        <v>809.1</v>
      </c>
      <c r="N237" s="11">
        <v>46082</v>
      </c>
    </row>
    <row r="238" spans="1:14">
      <c r="A238" s="3" t="s">
        <v>558</v>
      </c>
      <c r="B238" s="7">
        <v>46283</v>
      </c>
      <c r="C238" s="3" t="s">
        <v>559</v>
      </c>
      <c r="D238" t="s">
        <v>73</v>
      </c>
      <c r="E238" t="s">
        <v>31</v>
      </c>
      <c r="F238" t="s">
        <v>32</v>
      </c>
      <c r="G238" s="3">
        <v>4</v>
      </c>
      <c r="H238" s="5">
        <v>999</v>
      </c>
      <c r="I238" s="3">
        <v>15</v>
      </c>
      <c r="J238" t="s">
        <v>18</v>
      </c>
      <c r="K238" t="s">
        <v>40</v>
      </c>
      <c r="L238" t="s">
        <v>145</v>
      </c>
      <c r="M238" s="9">
        <f t="shared" si="3"/>
        <v>3396.6</v>
      </c>
      <c r="N238" s="11">
        <v>46266</v>
      </c>
    </row>
    <row r="239" spans="1:14">
      <c r="A239" s="3" t="s">
        <v>560</v>
      </c>
      <c r="B239" s="7">
        <v>46288</v>
      </c>
      <c r="C239" s="3" t="s">
        <v>561</v>
      </c>
      <c r="D239" t="s">
        <v>30</v>
      </c>
      <c r="E239" t="s">
        <v>16</v>
      </c>
      <c r="F239" t="s">
        <v>111</v>
      </c>
      <c r="G239" s="3">
        <v>4</v>
      </c>
      <c r="H239" s="5">
        <v>1999</v>
      </c>
      <c r="I239" s="3">
        <v>5</v>
      </c>
      <c r="J239" t="s">
        <v>33</v>
      </c>
      <c r="K239" t="s">
        <v>26</v>
      </c>
      <c r="L239" t="s">
        <v>41</v>
      </c>
      <c r="M239" s="9">
        <f t="shared" si="3"/>
        <v>7596.2</v>
      </c>
      <c r="N239" s="11">
        <v>46266</v>
      </c>
    </row>
    <row r="240" spans="1:14">
      <c r="A240" s="3" t="s">
        <v>562</v>
      </c>
      <c r="B240" s="7">
        <v>46106</v>
      </c>
      <c r="C240" s="3" t="s">
        <v>563</v>
      </c>
      <c r="D240" t="s">
        <v>106</v>
      </c>
      <c r="E240" t="s">
        <v>81</v>
      </c>
      <c r="F240" t="s">
        <v>92</v>
      </c>
      <c r="G240" s="3">
        <v>4</v>
      </c>
      <c r="H240" s="5">
        <v>999</v>
      </c>
      <c r="I240" s="3">
        <v>15</v>
      </c>
      <c r="J240" t="s">
        <v>39</v>
      </c>
      <c r="K240" t="s">
        <v>26</v>
      </c>
      <c r="L240" t="s">
        <v>108</v>
      </c>
      <c r="M240" s="9">
        <f t="shared" si="3"/>
        <v>3396.6</v>
      </c>
      <c r="N240" s="11">
        <v>46082</v>
      </c>
    </row>
    <row r="241" spans="1:14">
      <c r="A241" s="3" t="s">
        <v>564</v>
      </c>
      <c r="B241" s="7">
        <v>46273</v>
      </c>
      <c r="C241" s="3" t="s">
        <v>565</v>
      </c>
      <c r="D241" t="s">
        <v>73</v>
      </c>
      <c r="E241" t="s">
        <v>81</v>
      </c>
      <c r="F241" t="s">
        <v>107</v>
      </c>
      <c r="G241" s="3">
        <v>5</v>
      </c>
      <c r="H241" s="5">
        <v>2899</v>
      </c>
      <c r="I241" s="3">
        <v>10</v>
      </c>
      <c r="J241" t="s">
        <v>85</v>
      </c>
      <c r="K241" t="s">
        <v>40</v>
      </c>
      <c r="L241" t="s">
        <v>180</v>
      </c>
      <c r="M241" s="9">
        <f t="shared" si="3"/>
        <v>13045.5</v>
      </c>
      <c r="N241" s="11">
        <v>46266</v>
      </c>
    </row>
    <row r="242" spans="1:14">
      <c r="A242" s="3" t="s">
        <v>566</v>
      </c>
      <c r="B242" s="7">
        <v>46180</v>
      </c>
      <c r="C242" s="3" t="s">
        <v>567</v>
      </c>
      <c r="D242" t="s">
        <v>73</v>
      </c>
      <c r="E242" t="s">
        <v>44</v>
      </c>
      <c r="F242" t="s">
        <v>50</v>
      </c>
      <c r="G242" s="3">
        <v>1</v>
      </c>
      <c r="H242" s="5">
        <v>1299</v>
      </c>
      <c r="I242" s="3">
        <v>15</v>
      </c>
      <c r="J242" t="s">
        <v>85</v>
      </c>
      <c r="K242" t="s">
        <v>34</v>
      </c>
      <c r="L242" t="s">
        <v>75</v>
      </c>
      <c r="M242" s="9">
        <f t="shared" si="3"/>
        <v>1104.1499999999999</v>
      </c>
      <c r="N242" s="11">
        <v>46174</v>
      </c>
    </row>
    <row r="243" spans="1:14">
      <c r="A243" s="3" t="s">
        <v>568</v>
      </c>
      <c r="B243" s="7">
        <v>46268</v>
      </c>
      <c r="C243" s="3" t="s">
        <v>569</v>
      </c>
      <c r="D243" t="s">
        <v>54</v>
      </c>
      <c r="E243" t="s">
        <v>44</v>
      </c>
      <c r="F243" t="s">
        <v>64</v>
      </c>
      <c r="G243" s="3">
        <v>2</v>
      </c>
      <c r="H243" s="5">
        <v>899</v>
      </c>
      <c r="I243" s="3">
        <v>15</v>
      </c>
      <c r="J243" t="s">
        <v>33</v>
      </c>
      <c r="K243" t="s">
        <v>97</v>
      </c>
      <c r="L243" t="s">
        <v>56</v>
      </c>
      <c r="M243" s="9">
        <f t="shared" si="3"/>
        <v>1528.3</v>
      </c>
      <c r="N243" s="11">
        <v>46266</v>
      </c>
    </row>
    <row r="244" spans="1:14">
      <c r="A244" s="3" t="s">
        <v>570</v>
      </c>
      <c r="B244" s="7">
        <v>46079</v>
      </c>
      <c r="C244" s="3" t="s">
        <v>571</v>
      </c>
      <c r="D244" t="s">
        <v>106</v>
      </c>
      <c r="E244" t="s">
        <v>31</v>
      </c>
      <c r="F244" t="s">
        <v>171</v>
      </c>
      <c r="G244" s="3">
        <v>2</v>
      </c>
      <c r="H244" s="5">
        <v>1599</v>
      </c>
      <c r="I244" s="3">
        <v>0</v>
      </c>
      <c r="J244" t="s">
        <v>85</v>
      </c>
      <c r="K244" t="s">
        <v>34</v>
      </c>
      <c r="L244" t="s">
        <v>234</v>
      </c>
      <c r="M244" s="9">
        <f t="shared" si="3"/>
        <v>3198</v>
      </c>
      <c r="N244" s="11">
        <v>46054</v>
      </c>
    </row>
    <row r="245" spans="1:14">
      <c r="A245" s="3" t="s">
        <v>572</v>
      </c>
      <c r="B245" s="7">
        <v>46233</v>
      </c>
      <c r="C245" s="3" t="s">
        <v>573</v>
      </c>
      <c r="D245" t="s">
        <v>59</v>
      </c>
      <c r="E245" t="s">
        <v>23</v>
      </c>
      <c r="F245" t="s">
        <v>78</v>
      </c>
      <c r="G245" s="3">
        <v>5</v>
      </c>
      <c r="H245" s="5">
        <v>599</v>
      </c>
      <c r="I245" s="3">
        <v>15</v>
      </c>
      <c r="J245" t="s">
        <v>85</v>
      </c>
      <c r="K245" t="s">
        <v>19</v>
      </c>
      <c r="L245" t="s">
        <v>185</v>
      </c>
      <c r="M245" s="9">
        <f t="shared" si="3"/>
        <v>2545.75</v>
      </c>
      <c r="N245" s="11">
        <v>46204</v>
      </c>
    </row>
    <row r="246" spans="1:14">
      <c r="A246" s="3" t="s">
        <v>574</v>
      </c>
      <c r="B246" s="7">
        <v>46129</v>
      </c>
      <c r="C246" s="3" t="s">
        <v>575</v>
      </c>
      <c r="D246" t="s">
        <v>30</v>
      </c>
      <c r="E246" t="s">
        <v>31</v>
      </c>
      <c r="F246" t="s">
        <v>32</v>
      </c>
      <c r="G246" s="3">
        <v>5</v>
      </c>
      <c r="H246" s="5">
        <v>999</v>
      </c>
      <c r="I246" s="3">
        <v>10</v>
      </c>
      <c r="J246" t="s">
        <v>85</v>
      </c>
      <c r="K246" t="s">
        <v>26</v>
      </c>
      <c r="L246" t="s">
        <v>35</v>
      </c>
      <c r="M246" s="9">
        <f t="shared" si="3"/>
        <v>4495.5</v>
      </c>
      <c r="N246" s="11">
        <v>46113</v>
      </c>
    </row>
    <row r="247" spans="1:14">
      <c r="A247" s="3" t="s">
        <v>576</v>
      </c>
      <c r="B247" s="7">
        <v>46295</v>
      </c>
      <c r="C247" s="3" t="s">
        <v>577</v>
      </c>
      <c r="D247" t="s">
        <v>59</v>
      </c>
      <c r="E247" t="s">
        <v>31</v>
      </c>
      <c r="F247" t="s">
        <v>211</v>
      </c>
      <c r="G247" s="3">
        <v>3</v>
      </c>
      <c r="H247" s="5">
        <v>2799</v>
      </c>
      <c r="I247" s="3">
        <v>15</v>
      </c>
      <c r="J247" t="s">
        <v>39</v>
      </c>
      <c r="K247" t="s">
        <v>19</v>
      </c>
      <c r="L247" t="s">
        <v>60</v>
      </c>
      <c r="M247" s="9">
        <f t="shared" si="3"/>
        <v>7137.45</v>
      </c>
      <c r="N247" s="11">
        <v>46266</v>
      </c>
    </row>
    <row r="248" spans="1:14">
      <c r="A248" s="3" t="s">
        <v>578</v>
      </c>
      <c r="B248" s="7">
        <v>46149</v>
      </c>
      <c r="C248" s="3" t="s">
        <v>579</v>
      </c>
      <c r="D248" t="s">
        <v>63</v>
      </c>
      <c r="E248" t="s">
        <v>23</v>
      </c>
      <c r="F248" t="s">
        <v>78</v>
      </c>
      <c r="G248" s="3">
        <v>3</v>
      </c>
      <c r="H248" s="5">
        <v>599</v>
      </c>
      <c r="I248" s="3">
        <v>15</v>
      </c>
      <c r="J248" t="s">
        <v>39</v>
      </c>
      <c r="K248" t="s">
        <v>65</v>
      </c>
      <c r="L248" t="s">
        <v>66</v>
      </c>
      <c r="M248" s="9">
        <f t="shared" si="3"/>
        <v>1527.45</v>
      </c>
      <c r="N248" s="11">
        <v>46143</v>
      </c>
    </row>
    <row r="249" spans="1:14">
      <c r="A249" s="3" t="s">
        <v>580</v>
      </c>
      <c r="B249" s="7">
        <v>46185</v>
      </c>
      <c r="C249" s="3" t="s">
        <v>581</v>
      </c>
      <c r="D249" t="s">
        <v>63</v>
      </c>
      <c r="E249" t="s">
        <v>31</v>
      </c>
      <c r="F249" t="s">
        <v>211</v>
      </c>
      <c r="G249" s="3">
        <v>4</v>
      </c>
      <c r="H249" s="5">
        <v>2799</v>
      </c>
      <c r="I249" s="3">
        <v>10</v>
      </c>
      <c r="J249" t="s">
        <v>33</v>
      </c>
      <c r="K249" t="s">
        <v>19</v>
      </c>
      <c r="L249" t="s">
        <v>112</v>
      </c>
      <c r="M249" s="9">
        <f t="shared" si="3"/>
        <v>10076.4</v>
      </c>
      <c r="N249" s="11">
        <v>46174</v>
      </c>
    </row>
    <row r="250" spans="1:14">
      <c r="A250" s="3" t="s">
        <v>582</v>
      </c>
      <c r="B250" s="7">
        <v>46217</v>
      </c>
      <c r="C250" s="3" t="s">
        <v>583</v>
      </c>
      <c r="D250" t="s">
        <v>63</v>
      </c>
      <c r="E250" t="s">
        <v>44</v>
      </c>
      <c r="F250" t="s">
        <v>64</v>
      </c>
      <c r="G250" s="3">
        <v>4</v>
      </c>
      <c r="H250" s="5">
        <v>899</v>
      </c>
      <c r="I250" s="3">
        <v>10</v>
      </c>
      <c r="J250" t="s">
        <v>25</v>
      </c>
      <c r="K250" t="s">
        <v>34</v>
      </c>
      <c r="L250" t="s">
        <v>112</v>
      </c>
      <c r="M250" s="9">
        <f t="shared" si="3"/>
        <v>3236.4</v>
      </c>
      <c r="N250" s="11">
        <v>46204</v>
      </c>
    </row>
    <row r="251" spans="1:14">
      <c r="A251" s="3" t="s">
        <v>584</v>
      </c>
      <c r="B251" s="7">
        <v>46249</v>
      </c>
      <c r="C251" s="3" t="s">
        <v>585</v>
      </c>
      <c r="D251" t="s">
        <v>30</v>
      </c>
      <c r="E251" t="s">
        <v>44</v>
      </c>
      <c r="F251" t="s">
        <v>45</v>
      </c>
      <c r="G251" s="3">
        <v>3</v>
      </c>
      <c r="H251" s="5">
        <v>1199</v>
      </c>
      <c r="I251" s="3">
        <v>20</v>
      </c>
      <c r="J251" t="s">
        <v>85</v>
      </c>
      <c r="K251" t="s">
        <v>65</v>
      </c>
      <c r="L251" t="s">
        <v>148</v>
      </c>
      <c r="M251" s="9">
        <f t="shared" si="3"/>
        <v>2877.6000000000004</v>
      </c>
      <c r="N251" s="11">
        <v>46235</v>
      </c>
    </row>
  </sheetData>
  <dataConsolidate/>
  <conditionalFormatting sqref="A1:A1048576">
    <cfRule type="duplicateValues" dxfId="9"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A0"/>
  </sheetPr>
  <dimension ref="A1:AD51"/>
  <sheetViews>
    <sheetView workbookViewId="0">
      <selection activeCell="O29" sqref="O29"/>
    </sheetView>
  </sheetViews>
  <sheetFormatPr defaultRowHeight="12.5"/>
  <cols>
    <col min="1" max="1" width="16.1796875" style="12" customWidth="1"/>
    <col min="2" max="2" width="10.81640625" style="12" customWidth="1"/>
    <col min="3" max="7" width="8.7265625" style="12"/>
    <col min="8" max="8" width="16.36328125" style="12" customWidth="1"/>
    <col min="9" max="9" width="10.81640625" style="12" customWidth="1"/>
    <col min="10" max="14" width="8.7265625" style="12"/>
    <col min="15" max="15" width="13.08984375" style="12" customWidth="1"/>
    <col min="16" max="16" width="10.81640625" style="12" customWidth="1"/>
    <col min="17" max="26" width="8.7265625" style="12"/>
    <col min="27" max="27" width="10.81640625" style="12" customWidth="1"/>
    <col min="28" max="28" width="11.1796875" style="12" customWidth="1"/>
    <col min="29" max="29" width="12.6328125" style="12" customWidth="1"/>
    <col min="30" max="30" width="18.1796875" style="12" customWidth="1"/>
    <col min="31" max="16384" width="8.7265625" style="12"/>
  </cols>
  <sheetData>
    <row r="1" spans="1:30">
      <c r="A1" s="23" t="s">
        <v>587</v>
      </c>
      <c r="B1" s="23"/>
      <c r="C1" s="23"/>
      <c r="D1" s="23"/>
      <c r="E1" s="23"/>
      <c r="F1" s="23"/>
      <c r="G1" s="23"/>
      <c r="H1" s="23"/>
      <c r="I1" s="23"/>
      <c r="J1" s="23"/>
      <c r="K1" s="23"/>
      <c r="L1" s="23"/>
      <c r="M1" s="23"/>
      <c r="N1" s="23"/>
      <c r="O1" s="23"/>
      <c r="P1" s="23"/>
      <c r="Q1" s="23"/>
      <c r="R1" s="23"/>
      <c r="S1" s="23"/>
      <c r="T1" s="23"/>
      <c r="U1" s="23"/>
      <c r="V1" s="23"/>
      <c r="W1" s="23"/>
      <c r="X1" s="23"/>
      <c r="Y1" s="23"/>
      <c r="Z1" s="23"/>
    </row>
    <row r="2" spans="1:30">
      <c r="A2" s="23"/>
      <c r="B2" s="23"/>
      <c r="C2" s="23"/>
      <c r="D2" s="23"/>
      <c r="E2" s="23"/>
      <c r="F2" s="23"/>
      <c r="G2" s="23"/>
      <c r="H2" s="23"/>
      <c r="I2" s="23"/>
      <c r="J2" s="23"/>
      <c r="K2" s="23"/>
      <c r="L2" s="23"/>
      <c r="M2" s="23"/>
      <c r="N2" s="23"/>
      <c r="O2" s="23"/>
      <c r="P2" s="23"/>
      <c r="Q2" s="23"/>
      <c r="R2" s="23"/>
      <c r="S2" s="23"/>
      <c r="T2" s="23"/>
      <c r="U2" s="23"/>
      <c r="V2" s="23"/>
      <c r="W2" s="23"/>
      <c r="X2" s="23"/>
      <c r="Y2" s="23"/>
      <c r="Z2" s="23"/>
    </row>
    <row r="4" spans="1:30" ht="14.5">
      <c r="A4" s="13" t="s">
        <v>586</v>
      </c>
      <c r="B4" t="s">
        <v>588</v>
      </c>
      <c r="C4"/>
      <c r="H4" s="13" t="s">
        <v>4</v>
      </c>
      <c r="I4" t="s">
        <v>588</v>
      </c>
      <c r="J4"/>
      <c r="O4" s="13" t="s">
        <v>3</v>
      </c>
      <c r="P4" t="s">
        <v>588</v>
      </c>
      <c r="Q4"/>
      <c r="AA4" s="13" t="s">
        <v>590</v>
      </c>
      <c r="AB4"/>
      <c r="AC4"/>
      <c r="AD4"/>
    </row>
    <row r="5" spans="1:30" ht="14.5">
      <c r="A5" s="11">
        <v>46023</v>
      </c>
      <c r="B5" s="14">
        <v>102349.20000000001</v>
      </c>
      <c r="C5"/>
      <c r="H5" t="s">
        <v>23</v>
      </c>
      <c r="I5" s="14">
        <v>247378.45000000004</v>
      </c>
      <c r="J5"/>
      <c r="O5" t="s">
        <v>73</v>
      </c>
      <c r="P5" s="14">
        <v>177647.85000000006</v>
      </c>
      <c r="Q5"/>
      <c r="AA5" t="s">
        <v>588</v>
      </c>
      <c r="AB5" t="s">
        <v>591</v>
      </c>
      <c r="AC5" t="s">
        <v>592</v>
      </c>
      <c r="AD5" t="s">
        <v>593</v>
      </c>
    </row>
    <row r="6" spans="1:30" ht="14.5">
      <c r="A6" s="11">
        <v>46054</v>
      </c>
      <c r="B6" s="14">
        <v>92650.05</v>
      </c>
      <c r="C6"/>
      <c r="H6" t="s">
        <v>44</v>
      </c>
      <c r="I6" s="14">
        <v>112954.65</v>
      </c>
      <c r="J6"/>
      <c r="O6" t="s">
        <v>54</v>
      </c>
      <c r="P6" s="14">
        <v>77018.399999999994</v>
      </c>
      <c r="Q6"/>
      <c r="AA6" s="14">
        <v>1101724.5499999996</v>
      </c>
      <c r="AB6" s="14">
        <v>250</v>
      </c>
      <c r="AC6" s="14">
        <v>740</v>
      </c>
      <c r="AD6" s="14">
        <v>4406.8981999999987</v>
      </c>
    </row>
    <row r="7" spans="1:30" ht="14.5">
      <c r="A7" s="11">
        <v>46082</v>
      </c>
      <c r="B7" s="14">
        <v>112590.30000000003</v>
      </c>
      <c r="C7"/>
      <c r="H7" t="s">
        <v>16</v>
      </c>
      <c r="I7" s="14">
        <v>247101.65000000005</v>
      </c>
      <c r="J7"/>
      <c r="O7" t="s">
        <v>15</v>
      </c>
      <c r="P7" s="14">
        <v>184220.44999999998</v>
      </c>
      <c r="Q7"/>
      <c r="AA7"/>
      <c r="AB7"/>
      <c r="AC7"/>
    </row>
    <row r="8" spans="1:30" ht="14.5">
      <c r="A8" s="11">
        <v>46113</v>
      </c>
      <c r="B8" s="14">
        <v>122972.95000000001</v>
      </c>
      <c r="C8"/>
      <c r="H8" t="s">
        <v>31</v>
      </c>
      <c r="I8" s="14">
        <v>239766.09999999998</v>
      </c>
      <c r="J8"/>
      <c r="O8" t="s">
        <v>59</v>
      </c>
      <c r="P8" s="14">
        <v>121048.35</v>
      </c>
      <c r="Q8"/>
      <c r="AA8"/>
      <c r="AB8"/>
      <c r="AC8"/>
    </row>
    <row r="9" spans="1:30" ht="14.5">
      <c r="A9" s="11">
        <v>46143</v>
      </c>
      <c r="B9" s="14">
        <v>125134.05000000003</v>
      </c>
      <c r="C9"/>
      <c r="H9" t="s">
        <v>81</v>
      </c>
      <c r="I9" s="14">
        <v>254523.70000000004</v>
      </c>
      <c r="J9"/>
      <c r="O9" t="s">
        <v>30</v>
      </c>
      <c r="P9" s="14">
        <v>170791.35</v>
      </c>
      <c r="Q9"/>
      <c r="AA9"/>
      <c r="AB9"/>
      <c r="AC9"/>
    </row>
    <row r="10" spans="1:30" ht="14.5">
      <c r="A10" s="11">
        <v>46174</v>
      </c>
      <c r="B10" s="14">
        <v>136271.25</v>
      </c>
      <c r="C10"/>
      <c r="H10" t="s">
        <v>589</v>
      </c>
      <c r="I10" s="14">
        <v>1101724.55</v>
      </c>
      <c r="J10"/>
      <c r="O10" t="s">
        <v>49</v>
      </c>
      <c r="P10" s="14">
        <v>129115.15000000001</v>
      </c>
      <c r="Q10"/>
      <c r="AA10"/>
      <c r="AB10"/>
      <c r="AC10"/>
    </row>
    <row r="11" spans="1:30" ht="14.5">
      <c r="A11" s="11">
        <v>46204</v>
      </c>
      <c r="B11" s="14">
        <v>77591.55</v>
      </c>
      <c r="C11"/>
      <c r="H11"/>
      <c r="I11"/>
      <c r="J11"/>
      <c r="O11" t="s">
        <v>106</v>
      </c>
      <c r="P11" s="14">
        <v>118217.05000000002</v>
      </c>
      <c r="Q11"/>
      <c r="AA11"/>
      <c r="AB11"/>
      <c r="AC11"/>
    </row>
    <row r="12" spans="1:30" ht="14.5">
      <c r="A12" s="11">
        <v>46235</v>
      </c>
      <c r="B12" s="14">
        <v>165405.25000000003</v>
      </c>
      <c r="C12"/>
      <c r="H12"/>
      <c r="I12"/>
      <c r="J12"/>
      <c r="O12" t="s">
        <v>63</v>
      </c>
      <c r="P12" s="14">
        <v>123665.95</v>
      </c>
      <c r="Q12"/>
      <c r="AA12"/>
      <c r="AB12"/>
      <c r="AC12"/>
    </row>
    <row r="13" spans="1:30" ht="14.5">
      <c r="A13" s="11">
        <v>46266</v>
      </c>
      <c r="B13" s="14">
        <v>166759.95000000001</v>
      </c>
      <c r="C13"/>
      <c r="H13"/>
      <c r="I13"/>
      <c r="J13"/>
      <c r="O13" t="s">
        <v>589</v>
      </c>
      <c r="P13" s="14">
        <v>1101724.55</v>
      </c>
      <c r="Q13"/>
      <c r="AA13"/>
      <c r="AB13"/>
      <c r="AC13"/>
    </row>
    <row r="14" spans="1:30" ht="14.5">
      <c r="A14" s="11" t="s">
        <v>589</v>
      </c>
      <c r="B14" s="14">
        <v>1101724.55</v>
      </c>
      <c r="C14"/>
      <c r="H14"/>
      <c r="I14"/>
      <c r="J14"/>
      <c r="O14"/>
      <c r="P14"/>
      <c r="Q14"/>
      <c r="AA14"/>
      <c r="AB14"/>
      <c r="AC14"/>
    </row>
    <row r="15" spans="1:30" ht="14.5">
      <c r="A15"/>
      <c r="B15"/>
      <c r="C15"/>
      <c r="H15"/>
      <c r="I15"/>
      <c r="J15"/>
      <c r="O15"/>
      <c r="P15"/>
      <c r="Q15"/>
      <c r="AA15"/>
      <c r="AB15"/>
      <c r="AC15"/>
    </row>
    <row r="16" spans="1:30" ht="14.5">
      <c r="A16"/>
      <c r="B16"/>
      <c r="C16"/>
      <c r="H16"/>
      <c r="I16"/>
      <c r="J16"/>
      <c r="O16"/>
      <c r="P16"/>
      <c r="Q16"/>
      <c r="AA16"/>
      <c r="AB16"/>
      <c r="AC16"/>
    </row>
    <row r="17" spans="1:29" ht="14.5">
      <c r="A17"/>
      <c r="B17"/>
      <c r="C17"/>
      <c r="H17"/>
      <c r="I17"/>
      <c r="J17"/>
      <c r="O17"/>
      <c r="P17"/>
      <c r="Q17"/>
      <c r="AA17"/>
      <c r="AB17"/>
      <c r="AC17"/>
    </row>
    <row r="18" spans="1:29" ht="14.5">
      <c r="A18"/>
      <c r="B18"/>
      <c r="C18"/>
      <c r="H18"/>
      <c r="I18"/>
      <c r="J18"/>
      <c r="O18"/>
      <c r="P18"/>
      <c r="Q18"/>
      <c r="AA18"/>
      <c r="AB18"/>
      <c r="AC18"/>
    </row>
    <row r="19" spans="1:29" ht="14.5">
      <c r="A19"/>
      <c r="B19"/>
      <c r="C19"/>
      <c r="H19"/>
      <c r="I19"/>
      <c r="J19"/>
      <c r="O19"/>
      <c r="P19"/>
      <c r="Q19"/>
      <c r="AA19"/>
      <c r="AB19"/>
      <c r="AC19"/>
    </row>
    <row r="20" spans="1:29" ht="14.5">
      <c r="A20"/>
      <c r="B20"/>
      <c r="C20"/>
      <c r="H20"/>
      <c r="I20"/>
      <c r="J20"/>
      <c r="O20"/>
      <c r="P20"/>
      <c r="Q20"/>
      <c r="AA20"/>
      <c r="AB20"/>
      <c r="AC20"/>
    </row>
    <row r="21" spans="1:29" ht="14.5">
      <c r="A21"/>
      <c r="B21"/>
      <c r="C21"/>
      <c r="H21"/>
      <c r="I21"/>
      <c r="J21"/>
      <c r="O21"/>
      <c r="P21"/>
      <c r="Q21"/>
      <c r="AA21"/>
      <c r="AB21"/>
      <c r="AC21"/>
    </row>
    <row r="25" spans="1:29" ht="14.5">
      <c r="A25" s="13" t="s">
        <v>5</v>
      </c>
      <c r="B25" t="s">
        <v>588</v>
      </c>
      <c r="C25"/>
      <c r="H25" s="13" t="s">
        <v>9</v>
      </c>
      <c r="I25" t="s">
        <v>588</v>
      </c>
      <c r="J25"/>
      <c r="O25" s="13" t="s">
        <v>10</v>
      </c>
      <c r="P25" t="s">
        <v>588</v>
      </c>
      <c r="Q25"/>
    </row>
    <row r="26" spans="1:29" ht="14.5">
      <c r="A26" t="s">
        <v>219</v>
      </c>
      <c r="B26" s="14">
        <v>44241.15</v>
      </c>
      <c r="C26"/>
      <c r="H26" t="s">
        <v>85</v>
      </c>
      <c r="I26" s="14">
        <v>260881.5</v>
      </c>
      <c r="J26"/>
      <c r="O26" t="s">
        <v>40</v>
      </c>
      <c r="P26" s="14">
        <v>212153.00000000009</v>
      </c>
      <c r="Q26"/>
    </row>
    <row r="27" spans="1:29" ht="14.5">
      <c r="A27" t="s">
        <v>101</v>
      </c>
      <c r="B27" s="14">
        <v>25006.1</v>
      </c>
      <c r="C27"/>
      <c r="H27" t="s">
        <v>25</v>
      </c>
      <c r="I27" s="14">
        <v>263813.60000000003</v>
      </c>
      <c r="J27"/>
      <c r="O27" t="s">
        <v>19</v>
      </c>
      <c r="P27" s="14">
        <v>191920.45000000004</v>
      </c>
      <c r="Q27"/>
    </row>
    <row r="28" spans="1:29" ht="14.5">
      <c r="A28" t="s">
        <v>277</v>
      </c>
      <c r="B28" s="14">
        <v>9893.4</v>
      </c>
      <c r="C28"/>
      <c r="H28" t="s">
        <v>39</v>
      </c>
      <c r="I28" s="14">
        <v>197311.25000000003</v>
      </c>
      <c r="J28"/>
      <c r="O28" t="s">
        <v>97</v>
      </c>
      <c r="P28" s="14">
        <v>146199.19999999998</v>
      </c>
      <c r="Q28"/>
    </row>
    <row r="29" spans="1:29" ht="14.5">
      <c r="A29" t="s">
        <v>74</v>
      </c>
      <c r="B29" s="14">
        <v>37086.449999999997</v>
      </c>
      <c r="C29"/>
      <c r="H29" t="s">
        <v>33</v>
      </c>
      <c r="I29" s="14">
        <v>195505.20000000004</v>
      </c>
      <c r="J29"/>
      <c r="O29" t="s">
        <v>65</v>
      </c>
      <c r="P29" s="14">
        <v>183414.65000000002</v>
      </c>
      <c r="Q29"/>
    </row>
    <row r="30" spans="1:29" ht="14.5">
      <c r="A30" t="s">
        <v>211</v>
      </c>
      <c r="B30" s="14">
        <v>98524.799999999988</v>
      </c>
      <c r="C30"/>
      <c r="H30" t="s">
        <v>18</v>
      </c>
      <c r="I30" s="14">
        <v>184213.00000000003</v>
      </c>
      <c r="J30"/>
      <c r="O30" t="s">
        <v>34</v>
      </c>
      <c r="P30" s="14">
        <v>244375</v>
      </c>
      <c r="Q30"/>
    </row>
    <row r="31" spans="1:29" ht="14.5">
      <c r="A31" t="s">
        <v>69</v>
      </c>
      <c r="B31" s="14">
        <v>29777.4</v>
      </c>
      <c r="C31"/>
      <c r="H31" t="s">
        <v>589</v>
      </c>
      <c r="I31" s="14">
        <v>1101724.5500000003</v>
      </c>
      <c r="J31"/>
      <c r="O31" t="s">
        <v>26</v>
      </c>
      <c r="P31" s="14">
        <v>123662.25000000001</v>
      </c>
      <c r="Q31"/>
    </row>
    <row r="32" spans="1:29" ht="14.5">
      <c r="A32" t="s">
        <v>119</v>
      </c>
      <c r="B32" s="14">
        <v>92088.150000000009</v>
      </c>
      <c r="C32"/>
      <c r="H32"/>
      <c r="I32"/>
      <c r="J32"/>
      <c r="O32" t="s">
        <v>589</v>
      </c>
      <c r="P32" s="14">
        <v>1101724.5500000003</v>
      </c>
      <c r="Q32"/>
    </row>
    <row r="33" spans="1:17" ht="14.5">
      <c r="A33" t="s">
        <v>111</v>
      </c>
      <c r="B33" s="14">
        <v>61769.099999999991</v>
      </c>
      <c r="C33"/>
      <c r="H33"/>
      <c r="I33"/>
      <c r="J33"/>
      <c r="O33"/>
      <c r="P33"/>
      <c r="Q33"/>
    </row>
    <row r="34" spans="1:17" ht="14.5">
      <c r="A34" t="s">
        <v>82</v>
      </c>
      <c r="B34" s="14">
        <v>40779.600000000006</v>
      </c>
      <c r="C34"/>
      <c r="H34"/>
      <c r="I34"/>
      <c r="J34"/>
      <c r="O34"/>
      <c r="P34"/>
      <c r="Q34"/>
    </row>
    <row r="35" spans="1:17" ht="14.5">
      <c r="A35" t="s">
        <v>171</v>
      </c>
      <c r="B35" s="14">
        <v>22066.2</v>
      </c>
      <c r="C35"/>
      <c r="H35"/>
      <c r="I35"/>
      <c r="J35"/>
      <c r="O35"/>
      <c r="P35"/>
      <c r="Q35"/>
    </row>
    <row r="36" spans="1:17" ht="14.5">
      <c r="A36" t="s">
        <v>24</v>
      </c>
      <c r="B36" s="14">
        <v>15201.900000000001</v>
      </c>
      <c r="C36"/>
      <c r="H36"/>
      <c r="I36"/>
      <c r="J36"/>
      <c r="O36"/>
      <c r="P36"/>
      <c r="Q36"/>
    </row>
    <row r="37" spans="1:17" ht="14.5">
      <c r="A37" t="s">
        <v>92</v>
      </c>
      <c r="B37" s="14">
        <v>22777.199999999997</v>
      </c>
      <c r="C37"/>
      <c r="H37"/>
      <c r="I37"/>
      <c r="J37"/>
      <c r="O37"/>
      <c r="P37"/>
      <c r="Q37"/>
    </row>
    <row r="38" spans="1:17" ht="14.5">
      <c r="A38" t="s">
        <v>214</v>
      </c>
      <c r="B38" s="14">
        <v>87448.95</v>
      </c>
      <c r="C38"/>
      <c r="H38"/>
      <c r="I38"/>
      <c r="J38"/>
      <c r="O38"/>
      <c r="P38"/>
      <c r="Q38"/>
    </row>
    <row r="39" spans="1:17" ht="14.5">
      <c r="A39" t="s">
        <v>45</v>
      </c>
      <c r="B39" s="14">
        <v>29615.300000000003</v>
      </c>
      <c r="C39"/>
      <c r="H39"/>
      <c r="I39"/>
      <c r="J39"/>
      <c r="O39"/>
      <c r="P39"/>
      <c r="Q39"/>
    </row>
    <row r="40" spans="1:17" ht="14.5">
      <c r="A40" t="s">
        <v>168</v>
      </c>
      <c r="B40" s="14">
        <v>48660.25</v>
      </c>
      <c r="C40"/>
      <c r="H40"/>
      <c r="I40"/>
      <c r="J40"/>
      <c r="O40"/>
      <c r="P40"/>
      <c r="Q40"/>
    </row>
    <row r="41" spans="1:17" ht="14.5">
      <c r="A41" t="s">
        <v>78</v>
      </c>
      <c r="B41" s="14">
        <v>14405.95</v>
      </c>
      <c r="C41"/>
      <c r="H41"/>
      <c r="I41"/>
      <c r="J41"/>
      <c r="O41"/>
      <c r="P41"/>
      <c r="Q41"/>
    </row>
    <row r="42" spans="1:17" ht="14.5">
      <c r="A42" t="s">
        <v>38</v>
      </c>
      <c r="B42" s="14">
        <v>66330.75</v>
      </c>
      <c r="C42"/>
      <c r="H42"/>
      <c r="I42"/>
      <c r="J42"/>
      <c r="O42"/>
      <c r="P42"/>
      <c r="Q42"/>
    </row>
    <row r="43" spans="1:17" ht="14.5">
      <c r="A43" t="s">
        <v>50</v>
      </c>
      <c r="B43" s="14">
        <v>27863.550000000003</v>
      </c>
    </row>
    <row r="44" spans="1:17" ht="14.5">
      <c r="A44" t="s">
        <v>17</v>
      </c>
      <c r="B44" s="14">
        <v>93462.6</v>
      </c>
    </row>
    <row r="45" spans="1:17" ht="14.5">
      <c r="A45" t="s">
        <v>89</v>
      </c>
      <c r="B45" s="14">
        <v>63990.9</v>
      </c>
    </row>
    <row r="46" spans="1:17" ht="14.5">
      <c r="A46" t="s">
        <v>32</v>
      </c>
      <c r="B46" s="14">
        <v>26273.7</v>
      </c>
    </row>
    <row r="47" spans="1:17" ht="14.5">
      <c r="A47" t="s">
        <v>107</v>
      </c>
      <c r="B47" s="14">
        <v>83056.349999999991</v>
      </c>
    </row>
    <row r="48" spans="1:17" ht="14.5">
      <c r="A48" t="s">
        <v>64</v>
      </c>
      <c r="B48" s="14">
        <v>31959.450000000004</v>
      </c>
    </row>
    <row r="49" spans="1:2" ht="14.5">
      <c r="A49" t="s">
        <v>55</v>
      </c>
      <c r="B49" s="14">
        <v>13622.95</v>
      </c>
    </row>
    <row r="50" spans="1:2" ht="14.5">
      <c r="A50" t="s">
        <v>128</v>
      </c>
      <c r="B50" s="14">
        <v>15822.4</v>
      </c>
    </row>
    <row r="51" spans="1:2" ht="14.5">
      <c r="A51" t="s">
        <v>589</v>
      </c>
      <c r="B51" s="14">
        <v>1101724.5499999998</v>
      </c>
    </row>
  </sheetData>
  <mergeCells count="1">
    <mergeCell ref="A1:Z2"/>
  </mergeCells>
  <pageMargins left="0.7" right="0.7" top="0.75" bottom="0.75" header="0.3" footer="0.3"/>
  <pageSetup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workbookViewId="0"/>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 1</vt:lpstr>
      <vt:lpstr>data</vt:lpstr>
      <vt:lpstr>Pivot Analysis</vt:lpstr>
      <vt:lpstr>Sheet2</vt:lpstr>
      <vt:lpstr>Sheet3</vt:lpstr>
      <vt:lpstr>'Dashboard 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2026-10-08T07:19:56Z</dcterms:created>
  <dcterms:modified xsi:type="dcterms:W3CDTF">2026-10-09T06:26:21Z</dcterms:modified>
</cp:coreProperties>
</file>